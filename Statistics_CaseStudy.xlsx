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CF3241D4-F1C7-4F31-86EB-DE5F7E9B292D}" xr6:coauthVersionLast="47" xr6:coauthVersionMax="47" xr10:uidLastSave="{00000000-0000-0000-0000-000000000000}"/>
  <bookViews>
    <workbookView xWindow="-108" yWindow="-108" windowWidth="23256" windowHeight="12456" tabRatio="500" firstSheet="7" activeTab="13" xr2:uid="{00000000-000D-0000-FFFF-FFFF00000000}"/>
  </bookViews>
  <sheets>
    <sheet name="README" sheetId="1" r:id="rId1"/>
    <sheet name="graduates" sheetId="2" r:id="rId2"/>
    <sheet name="helpdesk" sheetId="3" r:id="rId3"/>
    <sheet name="lab_task" sheetId="4" r:id="rId4"/>
    <sheet name="data_dictionary" sheetId="5" r:id="rId5"/>
    <sheet name="Part_A_Dispersion" sheetId="6" r:id="rId6"/>
    <sheet name="Part_B_Standardization" sheetId="7" r:id="rId7"/>
    <sheet name="Part_C_Analysis" sheetId="8" r:id="rId8"/>
    <sheet name="Part_D_BoxPlots" sheetId="9" r:id="rId9"/>
    <sheet name="B_C_Completed" sheetId="10" state="hidden" r:id="rId10"/>
    <sheet name="Z_Scores" sheetId="11" r:id="rId11"/>
    <sheet name="C_Distributions" sheetId="12" r:id="rId12"/>
    <sheet name="Part E" sheetId="13" r:id="rId13"/>
    <sheet name="Part F" sheetId="14" r:id="rId14"/>
    <sheet name="your_answers" sheetId="15" state="hidden" r:id="rId15"/>
    <sheet name="Charts_Gallery" sheetId="16" state="hidden" r:id="rId16"/>
  </sheets>
  <definedNames>
    <definedName name="_xlnm._FilterDatabase" localSheetId="1" hidden="1">graduates!$A$1:$G$301</definedName>
    <definedName name="_xlnm._FilterDatabase" localSheetId="2" hidden="1">helpdesk!$A$1:$C$181</definedName>
    <definedName name="_xlnm._FilterDatabase" localSheetId="3" hidden="1">lab_task!$A$1:$C$121</definedName>
    <definedName name="_xlnm._FilterDatabase" localSheetId="14" hidden="1">your_answers!$A$3:$D$20</definedName>
    <definedName name="_xlnm._FilterDatabase" localSheetId="10" hidden="1">Z_Scores!$A$4:$G$304</definedName>
    <definedName name="P_hat">'Part E'!$C$26</definedName>
    <definedName name="_xlnm.Print_Area" localSheetId="6">Part_B_Standardization!$A$1:$H$26</definedName>
    <definedName name="_xlnm.Print_Area" localSheetId="7">Part_C_Analysis!$A$1:$L$47</definedName>
    <definedName name="_xlnm.Print_Titles" localSheetId="6">Part_B_Standardization!$1:$5</definedName>
    <definedName name="_xlnm.Print_Titles" localSheetId="7">Part_C_Analysis!$1:$5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17" i="15" l="1"/>
  <c r="C14" i="15"/>
  <c r="C49" i="14"/>
  <c r="C48" i="14"/>
  <c r="C47" i="14"/>
  <c r="C46" i="14"/>
  <c r="C45" i="14"/>
  <c r="C44" i="14"/>
  <c r="C43" i="14"/>
  <c r="C42" i="14"/>
  <c r="C41" i="14"/>
  <c r="C40" i="14"/>
  <c r="C26" i="14"/>
  <c r="D48" i="14" s="1"/>
  <c r="C6" i="14"/>
  <c r="C5" i="14"/>
  <c r="B352" i="13"/>
  <c r="B344" i="13"/>
  <c r="B336" i="13"/>
  <c r="B328" i="13"/>
  <c r="B320" i="13"/>
  <c r="B312" i="13"/>
  <c r="B304" i="13"/>
  <c r="B296" i="13"/>
  <c r="B288" i="13"/>
  <c r="B280" i="13"/>
  <c r="B272" i="13"/>
  <c r="B264" i="13"/>
  <c r="B256" i="13"/>
  <c r="B248" i="13"/>
  <c r="B240" i="13"/>
  <c r="B232" i="13"/>
  <c r="B224" i="13"/>
  <c r="B216" i="13"/>
  <c r="B208" i="13"/>
  <c r="B200" i="13"/>
  <c r="B192" i="13"/>
  <c r="B184" i="13"/>
  <c r="B176" i="13"/>
  <c r="B168" i="13"/>
  <c r="B160" i="13"/>
  <c r="B152" i="13"/>
  <c r="B144" i="13"/>
  <c r="B136" i="13"/>
  <c r="B128" i="13"/>
  <c r="B120" i="13"/>
  <c r="B112" i="13"/>
  <c r="B104" i="13"/>
  <c r="B96" i="13"/>
  <c r="B88" i="13"/>
  <c r="B80" i="13"/>
  <c r="B72" i="13"/>
  <c r="B64" i="13"/>
  <c r="B56" i="13"/>
  <c r="C50" i="13"/>
  <c r="B50" i="13"/>
  <c r="C42" i="13"/>
  <c r="C32" i="13"/>
  <c r="C28" i="13"/>
  <c r="C26" i="13"/>
  <c r="B351" i="13" s="1"/>
  <c r="C55" i="12" a="1"/>
  <c r="C55" i="12" s="1"/>
  <c r="B55" i="12"/>
  <c r="C54" i="12" a="1"/>
  <c r="C54" i="12" s="1"/>
  <c r="B54" i="12"/>
  <c r="C53" i="12" a="1"/>
  <c r="C53" i="12" s="1"/>
  <c r="B53" i="12"/>
  <c r="C52" i="12" a="1"/>
  <c r="C52" i="12" s="1"/>
  <c r="B52" i="12"/>
  <c r="D49" i="12" a="1"/>
  <c r="D49" i="12"/>
  <c r="B49" i="12" a="1"/>
  <c r="B49" i="12" s="1"/>
  <c r="D48" i="12" a="1"/>
  <c r="D48" i="12" s="1"/>
  <c r="B48" i="12" a="1"/>
  <c r="B48" i="12" s="1"/>
  <c r="D47" i="12" a="1"/>
  <c r="D47" i="12" s="1"/>
  <c r="B47" i="12" a="1"/>
  <c r="B47" i="12"/>
  <c r="D46" i="12" a="1"/>
  <c r="D46" i="12"/>
  <c r="B46" i="12" a="1"/>
  <c r="B46" i="12"/>
  <c r="C41" i="12"/>
  <c r="B41" i="12" a="1"/>
  <c r="B41" i="12"/>
  <c r="C40" i="12"/>
  <c r="B40" i="12" a="1"/>
  <c r="B40" i="12" s="1"/>
  <c r="C39" i="12"/>
  <c r="B39" i="12" a="1"/>
  <c r="B39" i="12"/>
  <c r="C38" i="12"/>
  <c r="B38" i="12" a="1"/>
  <c r="B38" i="12" s="1"/>
  <c r="C37" i="12"/>
  <c r="B37" i="12"/>
  <c r="D30" i="12"/>
  <c r="D29" i="12"/>
  <c r="D28" i="12"/>
  <c r="D27" i="12"/>
  <c r="D26" i="12"/>
  <c r="D25" i="12"/>
  <c r="D24" i="12"/>
  <c r="D23" i="12"/>
  <c r="D22" i="12"/>
  <c r="A6" i="12"/>
  <c r="D304" i="11"/>
  <c r="G303" i="11"/>
  <c r="E303" i="11"/>
  <c r="F303" i="11" s="1"/>
  <c r="D303" i="11"/>
  <c r="E302" i="11"/>
  <c r="D302" i="11"/>
  <c r="F301" i="11"/>
  <c r="E301" i="11"/>
  <c r="G301" i="11" s="1"/>
  <c r="D301" i="11"/>
  <c r="D300" i="11"/>
  <c r="E299" i="11"/>
  <c r="G299" i="11" s="1"/>
  <c r="D299" i="11"/>
  <c r="D298" i="11"/>
  <c r="G297" i="11"/>
  <c r="F297" i="11"/>
  <c r="E297" i="11"/>
  <c r="D297" i="11"/>
  <c r="E296" i="11"/>
  <c r="G296" i="11" s="1"/>
  <c r="D296" i="11"/>
  <c r="F295" i="11"/>
  <c r="E295" i="11"/>
  <c r="G295" i="11" s="1"/>
  <c r="D295" i="11"/>
  <c r="D294" i="11"/>
  <c r="E293" i="11"/>
  <c r="G293" i="11" s="1"/>
  <c r="D293" i="11"/>
  <c r="E292" i="11"/>
  <c r="D292" i="11"/>
  <c r="G292" i="11" s="1"/>
  <c r="G291" i="11"/>
  <c r="E291" i="11"/>
  <c r="F291" i="11" s="1"/>
  <c r="D291" i="11"/>
  <c r="D290" i="11"/>
  <c r="G289" i="11"/>
  <c r="F289" i="11"/>
  <c r="E289" i="11"/>
  <c r="D289" i="11"/>
  <c r="G288" i="11"/>
  <c r="E288" i="11"/>
  <c r="D288" i="11"/>
  <c r="G287" i="11"/>
  <c r="E287" i="11"/>
  <c r="F287" i="11" s="1"/>
  <c r="D287" i="11"/>
  <c r="E286" i="11"/>
  <c r="D286" i="11"/>
  <c r="F285" i="11"/>
  <c r="E285" i="11"/>
  <c r="G285" i="11" s="1"/>
  <c r="D285" i="11"/>
  <c r="D284" i="11"/>
  <c r="E283" i="11"/>
  <c r="D283" i="11"/>
  <c r="G283" i="11" s="1"/>
  <c r="D282" i="11"/>
  <c r="D281" i="11"/>
  <c r="E280" i="11"/>
  <c r="G280" i="11" s="1"/>
  <c r="D280" i="11"/>
  <c r="F279" i="11"/>
  <c r="E279" i="11"/>
  <c r="G279" i="11" s="1"/>
  <c r="D279" i="11"/>
  <c r="D278" i="11"/>
  <c r="E277" i="11"/>
  <c r="D277" i="11"/>
  <c r="G277" i="11" s="1"/>
  <c r="E276" i="11"/>
  <c r="D276" i="11"/>
  <c r="G276" i="11" s="1"/>
  <c r="D275" i="11"/>
  <c r="D274" i="11"/>
  <c r="G273" i="11"/>
  <c r="F273" i="11"/>
  <c r="E273" i="11"/>
  <c r="D273" i="11"/>
  <c r="G272" i="11"/>
  <c r="E272" i="11"/>
  <c r="D272" i="11"/>
  <c r="G271" i="11"/>
  <c r="E271" i="11"/>
  <c r="F271" i="11" s="1"/>
  <c r="D271" i="11"/>
  <c r="E270" i="11"/>
  <c r="D270" i="11"/>
  <c r="D269" i="11"/>
  <c r="E269" i="11" s="1"/>
  <c r="F269" i="11" s="1"/>
  <c r="D268" i="11"/>
  <c r="E267" i="11"/>
  <c r="G267" i="11" s="1"/>
  <c r="D267" i="11"/>
  <c r="F267" i="11" s="1"/>
  <c r="G266" i="11"/>
  <c r="E266" i="11"/>
  <c r="D266" i="11"/>
  <c r="D265" i="11"/>
  <c r="E264" i="11"/>
  <c r="D264" i="11"/>
  <c r="F263" i="11"/>
  <c r="E263" i="11"/>
  <c r="G263" i="11" s="1"/>
  <c r="D263" i="11"/>
  <c r="D262" i="11"/>
  <c r="E261" i="11"/>
  <c r="D261" i="11"/>
  <c r="E260" i="11"/>
  <c r="D260" i="11"/>
  <c r="G260" i="11" s="1"/>
  <c r="D259" i="11"/>
  <c r="D258" i="11"/>
  <c r="F257" i="11"/>
  <c r="E257" i="11"/>
  <c r="G257" i="11" s="1"/>
  <c r="D257" i="11"/>
  <c r="G256" i="11"/>
  <c r="E256" i="11"/>
  <c r="D256" i="11"/>
  <c r="G255" i="11"/>
  <c r="E255" i="11"/>
  <c r="D255" i="11"/>
  <c r="F255" i="11" s="1"/>
  <c r="E254" i="11"/>
  <c r="D254" i="11"/>
  <c r="D253" i="11"/>
  <c r="E253" i="11" s="1"/>
  <c r="F253" i="11" s="1"/>
  <c r="D252" i="11"/>
  <c r="E251" i="11"/>
  <c r="G251" i="11" s="1"/>
  <c r="D251" i="11"/>
  <c r="F251" i="11" s="1"/>
  <c r="G250" i="11"/>
  <c r="E250" i="11"/>
  <c r="D250" i="11"/>
  <c r="D249" i="11"/>
  <c r="E248" i="11"/>
  <c r="D248" i="11"/>
  <c r="F247" i="11"/>
  <c r="E247" i="11"/>
  <c r="G247" i="11" s="1"/>
  <c r="D247" i="11"/>
  <c r="D246" i="11"/>
  <c r="E245" i="11"/>
  <c r="D245" i="11"/>
  <c r="E244" i="11"/>
  <c r="D244" i="11"/>
  <c r="D243" i="11"/>
  <c r="D242" i="11"/>
  <c r="F241" i="11"/>
  <c r="E241" i="11"/>
  <c r="G241" i="11" s="1"/>
  <c r="D241" i="11"/>
  <c r="G240" i="11"/>
  <c r="E240" i="11"/>
  <c r="D240" i="11"/>
  <c r="E239" i="11"/>
  <c r="G239" i="11" s="1"/>
  <c r="D239" i="11"/>
  <c r="E238" i="11"/>
  <c r="D238" i="11"/>
  <c r="D237" i="11"/>
  <c r="D236" i="11"/>
  <c r="E235" i="11"/>
  <c r="G235" i="11" s="1"/>
  <c r="D235" i="11"/>
  <c r="G234" i="11"/>
  <c r="E234" i="11"/>
  <c r="D234" i="11"/>
  <c r="D233" i="11"/>
  <c r="E233" i="11" s="1"/>
  <c r="G232" i="11"/>
  <c r="F232" i="11"/>
  <c r="E232" i="11"/>
  <c r="D232" i="11"/>
  <c r="D231" i="11"/>
  <c r="E231" i="11" s="1"/>
  <c r="G231" i="11" s="1"/>
  <c r="F230" i="11"/>
  <c r="E230" i="11"/>
  <c r="G230" i="11" s="1"/>
  <c r="D230" i="11"/>
  <c r="D229" i="11"/>
  <c r="E229" i="11" s="1"/>
  <c r="F229" i="11" s="1"/>
  <c r="E228" i="11"/>
  <c r="G228" i="11" s="1"/>
  <c r="D228" i="11"/>
  <c r="G227" i="11"/>
  <c r="D227" i="11"/>
  <c r="E227" i="11" s="1"/>
  <c r="E226" i="11"/>
  <c r="G226" i="11" s="1"/>
  <c r="D226" i="11"/>
  <c r="G225" i="11"/>
  <c r="F225" i="11"/>
  <c r="D225" i="11"/>
  <c r="E225" i="11" s="1"/>
  <c r="E224" i="11"/>
  <c r="G224" i="11" s="1"/>
  <c r="D224" i="11"/>
  <c r="D223" i="11"/>
  <c r="E223" i="11" s="1"/>
  <c r="E222" i="11"/>
  <c r="G222" i="11" s="1"/>
  <c r="D222" i="11"/>
  <c r="F221" i="11"/>
  <c r="D221" i="11"/>
  <c r="E221" i="11" s="1"/>
  <c r="G221" i="11" s="1"/>
  <c r="G220" i="11"/>
  <c r="E220" i="11"/>
  <c r="F220" i="11" s="1"/>
  <c r="D220" i="11"/>
  <c r="D219" i="11"/>
  <c r="E219" i="11" s="1"/>
  <c r="G218" i="11"/>
  <c r="F218" i="11"/>
  <c r="E218" i="11"/>
  <c r="D218" i="11"/>
  <c r="D217" i="11"/>
  <c r="E217" i="11" s="1"/>
  <c r="E216" i="11"/>
  <c r="G216" i="11" s="1"/>
  <c r="D216" i="11"/>
  <c r="D215" i="11"/>
  <c r="E215" i="11" s="1"/>
  <c r="G215" i="11" s="1"/>
  <c r="G214" i="11"/>
  <c r="F214" i="11"/>
  <c r="E214" i="11"/>
  <c r="D214" i="11"/>
  <c r="D213" i="11"/>
  <c r="E213" i="11" s="1"/>
  <c r="F213" i="11" s="1"/>
  <c r="F212" i="11"/>
  <c r="E212" i="11"/>
  <c r="G212" i="11" s="1"/>
  <c r="D212" i="11"/>
  <c r="G211" i="11"/>
  <c r="D211" i="11"/>
  <c r="E211" i="11" s="1"/>
  <c r="E210" i="11"/>
  <c r="D210" i="11"/>
  <c r="G209" i="11"/>
  <c r="F209" i="11"/>
  <c r="D209" i="11"/>
  <c r="E209" i="11" s="1"/>
  <c r="G208" i="11"/>
  <c r="E208" i="11"/>
  <c r="F208" i="11" s="1"/>
  <c r="D208" i="11"/>
  <c r="D207" i="11"/>
  <c r="E207" i="11" s="1"/>
  <c r="F206" i="11"/>
  <c r="E206" i="11"/>
  <c r="G206" i="11" s="1"/>
  <c r="D206" i="11"/>
  <c r="G205" i="11"/>
  <c r="F205" i="11"/>
  <c r="D205" i="11"/>
  <c r="E205" i="11" s="1"/>
  <c r="G204" i="11"/>
  <c r="E204" i="11"/>
  <c r="F204" i="11" s="1"/>
  <c r="D204" i="11"/>
  <c r="F203" i="11"/>
  <c r="D203" i="11"/>
  <c r="E203" i="11" s="1"/>
  <c r="G202" i="11"/>
  <c r="F202" i="11"/>
  <c r="E202" i="11"/>
  <c r="D202" i="11"/>
  <c r="D201" i="11"/>
  <c r="E200" i="11"/>
  <c r="G200" i="11" s="1"/>
  <c r="D200" i="11"/>
  <c r="D199" i="11"/>
  <c r="E199" i="11" s="1"/>
  <c r="G199" i="11" s="1"/>
  <c r="G198" i="11"/>
  <c r="F198" i="11"/>
  <c r="E198" i="11"/>
  <c r="D198" i="11"/>
  <c r="F197" i="11"/>
  <c r="D197" i="11"/>
  <c r="E197" i="11" s="1"/>
  <c r="F196" i="11"/>
  <c r="E196" i="11"/>
  <c r="G196" i="11" s="1"/>
  <c r="D196" i="11"/>
  <c r="G195" i="11"/>
  <c r="D195" i="11"/>
  <c r="E195" i="11" s="1"/>
  <c r="E194" i="11"/>
  <c r="D194" i="11"/>
  <c r="G193" i="11"/>
  <c r="F193" i="11"/>
  <c r="D193" i="11"/>
  <c r="E193" i="11" s="1"/>
  <c r="G192" i="11"/>
  <c r="E192" i="11"/>
  <c r="F192" i="11" s="1"/>
  <c r="D192" i="11"/>
  <c r="D191" i="11"/>
  <c r="E191" i="11" s="1"/>
  <c r="F190" i="11"/>
  <c r="E190" i="11"/>
  <c r="G190" i="11" s="1"/>
  <c r="D190" i="11"/>
  <c r="G189" i="11"/>
  <c r="D189" i="11"/>
  <c r="E189" i="11" s="1"/>
  <c r="F189" i="11" s="1"/>
  <c r="G188" i="11"/>
  <c r="E188" i="11"/>
  <c r="F188" i="11" s="1"/>
  <c r="D188" i="11"/>
  <c r="F187" i="11"/>
  <c r="D187" i="11"/>
  <c r="E187" i="11" s="1"/>
  <c r="G186" i="11"/>
  <c r="F186" i="11"/>
  <c r="E186" i="11"/>
  <c r="D186" i="11"/>
  <c r="D185" i="11"/>
  <c r="E184" i="11"/>
  <c r="G184" i="11" s="1"/>
  <c r="D184" i="11"/>
  <c r="D183" i="11"/>
  <c r="E183" i="11" s="1"/>
  <c r="G183" i="11" s="1"/>
  <c r="G182" i="11"/>
  <c r="E182" i="11"/>
  <c r="F182" i="11" s="1"/>
  <c r="D182" i="11"/>
  <c r="F181" i="11"/>
  <c r="D181" i="11"/>
  <c r="E181" i="11" s="1"/>
  <c r="F180" i="11"/>
  <c r="E180" i="11"/>
  <c r="G180" i="11" s="1"/>
  <c r="D180" i="11"/>
  <c r="G179" i="11"/>
  <c r="D179" i="11"/>
  <c r="E179" i="11" s="1"/>
  <c r="E178" i="11"/>
  <c r="D178" i="11"/>
  <c r="G177" i="11"/>
  <c r="F177" i="11"/>
  <c r="D177" i="11"/>
  <c r="E177" i="11" s="1"/>
  <c r="G176" i="11"/>
  <c r="E176" i="11"/>
  <c r="F176" i="11" s="1"/>
  <c r="D176" i="11"/>
  <c r="D175" i="11"/>
  <c r="E175" i="11" s="1"/>
  <c r="F174" i="11"/>
  <c r="E174" i="11"/>
  <c r="G174" i="11" s="1"/>
  <c r="D174" i="11"/>
  <c r="G173" i="11"/>
  <c r="D173" i="11"/>
  <c r="E173" i="11" s="1"/>
  <c r="F173" i="11" s="1"/>
  <c r="G172" i="11"/>
  <c r="E172" i="11"/>
  <c r="D172" i="11"/>
  <c r="F172" i="11" s="1"/>
  <c r="F171" i="11"/>
  <c r="D171" i="11"/>
  <c r="E171" i="11" s="1"/>
  <c r="D170" i="11"/>
  <c r="E170" i="11" s="1"/>
  <c r="F170" i="11" s="1"/>
  <c r="D169" i="11"/>
  <c r="E168" i="11"/>
  <c r="G168" i="11" s="1"/>
  <c r="D168" i="11"/>
  <c r="G167" i="11"/>
  <c r="D167" i="11"/>
  <c r="E167" i="11" s="1"/>
  <c r="D166" i="11"/>
  <c r="F165" i="11"/>
  <c r="D165" i="11"/>
  <c r="E165" i="11" s="1"/>
  <c r="F164" i="11"/>
  <c r="E164" i="11"/>
  <c r="G164" i="11" s="1"/>
  <c r="D164" i="11"/>
  <c r="G163" i="11"/>
  <c r="D163" i="11"/>
  <c r="E163" i="11" s="1"/>
  <c r="E162" i="11"/>
  <c r="D162" i="11"/>
  <c r="G162" i="11" s="1"/>
  <c r="G161" i="11"/>
  <c r="F161" i="11"/>
  <c r="D161" i="11"/>
  <c r="E161" i="11" s="1"/>
  <c r="D160" i="11"/>
  <c r="D159" i="11"/>
  <c r="D158" i="11"/>
  <c r="G157" i="11"/>
  <c r="F157" i="11"/>
  <c r="D157" i="11"/>
  <c r="E157" i="11" s="1"/>
  <c r="G156" i="11"/>
  <c r="E156" i="11"/>
  <c r="D156" i="11"/>
  <c r="F156" i="11" s="1"/>
  <c r="F155" i="11"/>
  <c r="D155" i="11"/>
  <c r="E155" i="11" s="1"/>
  <c r="D154" i="11"/>
  <c r="E154" i="11" s="1"/>
  <c r="F154" i="11" s="1"/>
  <c r="D153" i="11"/>
  <c r="E152" i="11"/>
  <c r="D152" i="11"/>
  <c r="G151" i="11"/>
  <c r="D151" i="11"/>
  <c r="E151" i="11" s="1"/>
  <c r="D150" i="11"/>
  <c r="F149" i="11"/>
  <c r="D149" i="11"/>
  <c r="E149" i="11" s="1"/>
  <c r="F148" i="11"/>
  <c r="E148" i="11"/>
  <c r="G148" i="11" s="1"/>
  <c r="D148" i="11"/>
  <c r="D147" i="11"/>
  <c r="D146" i="11"/>
  <c r="G145" i="11"/>
  <c r="F145" i="11"/>
  <c r="D145" i="11"/>
  <c r="E145" i="11" s="1"/>
  <c r="D144" i="11"/>
  <c r="D143" i="11"/>
  <c r="F142" i="11"/>
  <c r="E142" i="11"/>
  <c r="D142" i="11"/>
  <c r="G142" i="11" s="1"/>
  <c r="G141" i="11"/>
  <c r="F141" i="11"/>
  <c r="D141" i="11"/>
  <c r="E141" i="11" s="1"/>
  <c r="D140" i="11"/>
  <c r="D139" i="11"/>
  <c r="D138" i="11"/>
  <c r="E138" i="11" s="1"/>
  <c r="D137" i="11"/>
  <c r="G136" i="11"/>
  <c r="E136" i="11"/>
  <c r="F136" i="11" s="1"/>
  <c r="D136" i="11"/>
  <c r="G135" i="11"/>
  <c r="F135" i="11"/>
  <c r="D135" i="11"/>
  <c r="E135" i="11" s="1"/>
  <c r="D134" i="11"/>
  <c r="D133" i="11"/>
  <c r="D132" i="11"/>
  <c r="D131" i="11"/>
  <c r="E130" i="11"/>
  <c r="G130" i="11" s="1"/>
  <c r="D130" i="11"/>
  <c r="G129" i="11"/>
  <c r="F129" i="11"/>
  <c r="D129" i="11"/>
  <c r="E129" i="11" s="1"/>
  <c r="D128" i="11"/>
  <c r="D127" i="11"/>
  <c r="E127" i="11" s="1"/>
  <c r="E126" i="11"/>
  <c r="F126" i="11" s="1"/>
  <c r="D126" i="11"/>
  <c r="F125" i="11"/>
  <c r="D125" i="11"/>
  <c r="E125" i="11" s="1"/>
  <c r="G125" i="11" s="1"/>
  <c r="E124" i="11"/>
  <c r="G124" i="11" s="1"/>
  <c r="D124" i="11"/>
  <c r="D123" i="11"/>
  <c r="D122" i="11"/>
  <c r="F121" i="11"/>
  <c r="E121" i="11"/>
  <c r="G121" i="11" s="1"/>
  <c r="D121" i="11"/>
  <c r="D120" i="11"/>
  <c r="E119" i="11"/>
  <c r="G119" i="11" s="1"/>
  <c r="D119" i="11"/>
  <c r="F119" i="11" s="1"/>
  <c r="E118" i="11"/>
  <c r="D118" i="11"/>
  <c r="G118" i="11" s="1"/>
  <c r="D117" i="11"/>
  <c r="D116" i="11"/>
  <c r="E115" i="11"/>
  <c r="F115" i="11" s="1"/>
  <c r="D115" i="11"/>
  <c r="G115" i="11" s="1"/>
  <c r="G114" i="11"/>
  <c r="E114" i="11"/>
  <c r="D114" i="11"/>
  <c r="D113" i="11"/>
  <c r="E112" i="11"/>
  <c r="D112" i="11"/>
  <c r="D111" i="11"/>
  <c r="E111" i="11" s="1"/>
  <c r="F111" i="11" s="1"/>
  <c r="D110" i="11"/>
  <c r="E109" i="11"/>
  <c r="G109" i="11" s="1"/>
  <c r="D109" i="11"/>
  <c r="F109" i="11" s="1"/>
  <c r="E108" i="11"/>
  <c r="G108" i="11" s="1"/>
  <c r="D108" i="11"/>
  <c r="D107" i="11"/>
  <c r="D106" i="11"/>
  <c r="F105" i="11"/>
  <c r="E105" i="11"/>
  <c r="G105" i="11" s="1"/>
  <c r="D105" i="11"/>
  <c r="D104" i="11"/>
  <c r="E103" i="11"/>
  <c r="G103" i="11" s="1"/>
  <c r="D103" i="11"/>
  <c r="E102" i="11"/>
  <c r="D102" i="11"/>
  <c r="D101" i="11"/>
  <c r="D100" i="11"/>
  <c r="E99" i="11"/>
  <c r="F99" i="11" s="1"/>
  <c r="D99" i="11"/>
  <c r="G99" i="11" s="1"/>
  <c r="G98" i="11"/>
  <c r="E98" i="11"/>
  <c r="D98" i="11"/>
  <c r="D97" i="11"/>
  <c r="E96" i="11"/>
  <c r="D96" i="11"/>
  <c r="F95" i="11"/>
  <c r="D95" i="11"/>
  <c r="E95" i="11" s="1"/>
  <c r="D94" i="11"/>
  <c r="E93" i="11"/>
  <c r="G93" i="11" s="1"/>
  <c r="D93" i="11"/>
  <c r="F93" i="11" s="1"/>
  <c r="E92" i="11"/>
  <c r="G92" i="11" s="1"/>
  <c r="D92" i="11"/>
  <c r="D91" i="11"/>
  <c r="D90" i="11"/>
  <c r="F89" i="11"/>
  <c r="E89" i="11"/>
  <c r="G89" i="11" s="1"/>
  <c r="D89" i="11"/>
  <c r="D88" i="11"/>
  <c r="D87" i="11"/>
  <c r="E86" i="11"/>
  <c r="D86" i="11"/>
  <c r="D85" i="11"/>
  <c r="D84" i="11"/>
  <c r="E83" i="11"/>
  <c r="F83" i="11" s="1"/>
  <c r="D83" i="11"/>
  <c r="E82" i="11"/>
  <c r="G82" i="11" s="1"/>
  <c r="D82" i="11"/>
  <c r="D81" i="11"/>
  <c r="E80" i="11"/>
  <c r="D80" i="11"/>
  <c r="D79" i="11"/>
  <c r="E79" i="11" s="1"/>
  <c r="F79" i="11" s="1"/>
  <c r="D78" i="11"/>
  <c r="G77" i="11"/>
  <c r="E77" i="11"/>
  <c r="D77" i="11"/>
  <c r="F77" i="11" s="1"/>
  <c r="E76" i="11"/>
  <c r="G76" i="11" s="1"/>
  <c r="D76" i="11"/>
  <c r="D75" i="11"/>
  <c r="E75" i="11" s="1"/>
  <c r="F75" i="11" s="1"/>
  <c r="D74" i="11"/>
  <c r="E73" i="11"/>
  <c r="F73" i="11" s="1"/>
  <c r="D73" i="11"/>
  <c r="D72" i="11"/>
  <c r="D71" i="11"/>
  <c r="E70" i="11"/>
  <c r="G70" i="11" s="1"/>
  <c r="D70" i="11"/>
  <c r="D69" i="11"/>
  <c r="D68" i="11"/>
  <c r="E67" i="11"/>
  <c r="F67" i="11" s="1"/>
  <c r="D67" i="11"/>
  <c r="G67" i="11" s="1"/>
  <c r="E66" i="11"/>
  <c r="G66" i="11" s="1"/>
  <c r="D66" i="11"/>
  <c r="D65" i="11"/>
  <c r="D64" i="11"/>
  <c r="F63" i="11"/>
  <c r="D63" i="11"/>
  <c r="E63" i="11" s="1"/>
  <c r="G63" i="11" s="1"/>
  <c r="D62" i="11"/>
  <c r="E61" i="11"/>
  <c r="F61" i="11" s="1"/>
  <c r="D61" i="11"/>
  <c r="E60" i="11"/>
  <c r="G60" i="11" s="1"/>
  <c r="D60" i="11"/>
  <c r="F59" i="11"/>
  <c r="D59" i="11"/>
  <c r="E59" i="11" s="1"/>
  <c r="D58" i="11"/>
  <c r="E57" i="11"/>
  <c r="F57" i="11" s="1"/>
  <c r="D57" i="11"/>
  <c r="G57" i="11" s="1"/>
  <c r="D56" i="11"/>
  <c r="G55" i="11"/>
  <c r="E55" i="11"/>
  <c r="D55" i="11"/>
  <c r="E54" i="11"/>
  <c r="G54" i="11" s="1"/>
  <c r="D54" i="11"/>
  <c r="D53" i="11"/>
  <c r="D52" i="11"/>
  <c r="E51" i="11"/>
  <c r="D51" i="11"/>
  <c r="D50" i="11"/>
  <c r="D49" i="11"/>
  <c r="D48" i="11"/>
  <c r="F47" i="11"/>
  <c r="D47" i="11"/>
  <c r="E47" i="11" s="1"/>
  <c r="G47" i="11" s="1"/>
  <c r="D46" i="11"/>
  <c r="E45" i="11"/>
  <c r="G45" i="11" s="1"/>
  <c r="D45" i="11"/>
  <c r="E44" i="11"/>
  <c r="D44" i="11"/>
  <c r="D43" i="11"/>
  <c r="D42" i="11"/>
  <c r="E41" i="11"/>
  <c r="D41" i="11"/>
  <c r="D40" i="11"/>
  <c r="D39" i="11"/>
  <c r="E38" i="11"/>
  <c r="G38" i="11" s="1"/>
  <c r="D38" i="11"/>
  <c r="D37" i="11"/>
  <c r="D36" i="11"/>
  <c r="E35" i="11"/>
  <c r="D35" i="11"/>
  <c r="G35" i="11" s="1"/>
  <c r="D34" i="11"/>
  <c r="D33" i="11"/>
  <c r="E32" i="11"/>
  <c r="D32" i="11"/>
  <c r="G31" i="11"/>
  <c r="D31" i="11"/>
  <c r="E31" i="11" s="1"/>
  <c r="F31" i="11" s="1"/>
  <c r="D30" i="11"/>
  <c r="G29" i="11"/>
  <c r="F29" i="11"/>
  <c r="E29" i="11"/>
  <c r="D29" i="11"/>
  <c r="E28" i="11"/>
  <c r="D28" i="11"/>
  <c r="D27" i="11"/>
  <c r="D26" i="11"/>
  <c r="D25" i="11"/>
  <c r="D24" i="11"/>
  <c r="E23" i="11"/>
  <c r="G23" i="11" s="1"/>
  <c r="D23" i="11"/>
  <c r="G22" i="11"/>
  <c r="E22" i="11"/>
  <c r="D22" i="11"/>
  <c r="D21" i="11"/>
  <c r="E20" i="11"/>
  <c r="G20" i="11" s="1"/>
  <c r="D20" i="11"/>
  <c r="E19" i="11"/>
  <c r="D19" i="11"/>
  <c r="D18" i="11"/>
  <c r="E18" i="11" s="1"/>
  <c r="E17" i="11"/>
  <c r="D17" i="11"/>
  <c r="F16" i="11"/>
  <c r="E16" i="11"/>
  <c r="G16" i="11" s="1"/>
  <c r="D16" i="11"/>
  <c r="E15" i="11"/>
  <c r="D15" i="11"/>
  <c r="G15" i="11" s="1"/>
  <c r="E14" i="11"/>
  <c r="D14" i="11"/>
  <c r="G14" i="11" s="1"/>
  <c r="E13" i="11"/>
  <c r="D13" i="11"/>
  <c r="E12" i="11"/>
  <c r="G12" i="11" s="1"/>
  <c r="D12" i="11"/>
  <c r="D11" i="11"/>
  <c r="E11" i="11" s="1"/>
  <c r="F10" i="11"/>
  <c r="D10" i="11"/>
  <c r="E10" i="11" s="1"/>
  <c r="E9" i="11"/>
  <c r="D9" i="11"/>
  <c r="E8" i="11"/>
  <c r="G8" i="11" s="1"/>
  <c r="D8" i="11"/>
  <c r="F8" i="11" s="1"/>
  <c r="E7" i="11"/>
  <c r="D7" i="11"/>
  <c r="D6" i="11"/>
  <c r="E6" i="11" s="1"/>
  <c r="G6" i="11" s="1"/>
  <c r="F5" i="11"/>
  <c r="E5" i="11"/>
  <c r="G5" i="11" s="1"/>
  <c r="D5" i="11"/>
  <c r="N121" i="9"/>
  <c r="M121" i="9"/>
  <c r="N120" i="9"/>
  <c r="M120" i="9"/>
  <c r="N119" i="9"/>
  <c r="M119" i="9"/>
  <c r="N118" i="9"/>
  <c r="M118" i="9"/>
  <c r="N117" i="9"/>
  <c r="M117" i="9"/>
  <c r="N116" i="9"/>
  <c r="M116" i="9"/>
  <c r="N115" i="9"/>
  <c r="M115" i="9"/>
  <c r="N114" i="9"/>
  <c r="M114" i="9"/>
  <c r="N113" i="9"/>
  <c r="M113" i="9"/>
  <c r="N112" i="9"/>
  <c r="M112" i="9"/>
  <c r="N111" i="9"/>
  <c r="M111" i="9"/>
  <c r="N110" i="9"/>
  <c r="M110" i="9"/>
  <c r="N109" i="9"/>
  <c r="M109" i="9"/>
  <c r="N108" i="9"/>
  <c r="M108" i="9"/>
  <c r="N107" i="9"/>
  <c r="M107" i="9"/>
  <c r="N106" i="9"/>
  <c r="M106" i="9"/>
  <c r="N105" i="9"/>
  <c r="M105" i="9"/>
  <c r="N104" i="9"/>
  <c r="M104" i="9"/>
  <c r="N103" i="9"/>
  <c r="M103" i="9"/>
  <c r="N102" i="9"/>
  <c r="M102" i="9"/>
  <c r="N101" i="9"/>
  <c r="M101" i="9"/>
  <c r="N100" i="9"/>
  <c r="M100" i="9"/>
  <c r="N99" i="9"/>
  <c r="M99" i="9"/>
  <c r="N98" i="9"/>
  <c r="M98" i="9"/>
  <c r="N97" i="9"/>
  <c r="M97" i="9"/>
  <c r="N96" i="9"/>
  <c r="M96" i="9"/>
  <c r="N95" i="9"/>
  <c r="M95" i="9"/>
  <c r="N94" i="9"/>
  <c r="M94" i="9"/>
  <c r="N93" i="9"/>
  <c r="M93" i="9"/>
  <c r="N92" i="9"/>
  <c r="M92" i="9"/>
  <c r="N91" i="9"/>
  <c r="M91" i="9"/>
  <c r="N90" i="9"/>
  <c r="M90" i="9"/>
  <c r="N89" i="9"/>
  <c r="M89" i="9"/>
  <c r="N88" i="9"/>
  <c r="M88" i="9"/>
  <c r="N87" i="9"/>
  <c r="M87" i="9"/>
  <c r="N86" i="9"/>
  <c r="M86" i="9"/>
  <c r="N85" i="9"/>
  <c r="M85" i="9"/>
  <c r="N84" i="9"/>
  <c r="M84" i="9"/>
  <c r="N83" i="9"/>
  <c r="M83" i="9"/>
  <c r="N82" i="9"/>
  <c r="M82" i="9"/>
  <c r="N81" i="9"/>
  <c r="M81" i="9"/>
  <c r="N80" i="9"/>
  <c r="M80" i="9"/>
  <c r="N79" i="9"/>
  <c r="M79" i="9"/>
  <c r="N78" i="9"/>
  <c r="M78" i="9"/>
  <c r="N77" i="9"/>
  <c r="M77" i="9"/>
  <c r="N76" i="9"/>
  <c r="M76" i="9"/>
  <c r="N75" i="9"/>
  <c r="M75" i="9"/>
  <c r="N74" i="9"/>
  <c r="M74" i="9"/>
  <c r="N73" i="9"/>
  <c r="M73" i="9"/>
  <c r="N72" i="9"/>
  <c r="M72" i="9"/>
  <c r="N71" i="9"/>
  <c r="M71" i="9"/>
  <c r="N70" i="9"/>
  <c r="M70" i="9"/>
  <c r="N69" i="9"/>
  <c r="M69" i="9"/>
  <c r="N68" i="9"/>
  <c r="M68" i="9"/>
  <c r="N67" i="9"/>
  <c r="M67" i="9"/>
  <c r="N66" i="9"/>
  <c r="M66" i="9"/>
  <c r="N65" i="9"/>
  <c r="M65" i="9"/>
  <c r="N64" i="9"/>
  <c r="M64" i="9"/>
  <c r="N63" i="9"/>
  <c r="M63" i="9"/>
  <c r="N62" i="9"/>
  <c r="M62" i="9"/>
  <c r="N61" i="9"/>
  <c r="M61" i="9"/>
  <c r="N60" i="9"/>
  <c r="M60" i="9"/>
  <c r="N59" i="9"/>
  <c r="M59" i="9"/>
  <c r="N58" i="9"/>
  <c r="M58" i="9"/>
  <c r="N57" i="9"/>
  <c r="M57" i="9"/>
  <c r="N56" i="9"/>
  <c r="M56" i="9"/>
  <c r="N55" i="9"/>
  <c r="M55" i="9"/>
  <c r="N54" i="9"/>
  <c r="M54" i="9"/>
  <c r="N53" i="9"/>
  <c r="M53" i="9"/>
  <c r="N52" i="9"/>
  <c r="M52" i="9"/>
  <c r="N51" i="9"/>
  <c r="M51" i="9"/>
  <c r="N50" i="9"/>
  <c r="M50" i="9"/>
  <c r="N49" i="9"/>
  <c r="M49" i="9"/>
  <c r="N48" i="9"/>
  <c r="M48" i="9"/>
  <c r="N47" i="9"/>
  <c r="M47" i="9"/>
  <c r="N46" i="9"/>
  <c r="M46" i="9"/>
  <c r="N45" i="9"/>
  <c r="M45" i="9"/>
  <c r="N44" i="9"/>
  <c r="M44" i="9"/>
  <c r="N43" i="9"/>
  <c r="M43" i="9"/>
  <c r="N42" i="9"/>
  <c r="M42" i="9"/>
  <c r="N41" i="9"/>
  <c r="M41" i="9"/>
  <c r="N40" i="9"/>
  <c r="M40" i="9"/>
  <c r="N39" i="9"/>
  <c r="M39" i="9"/>
  <c r="N38" i="9"/>
  <c r="M38" i="9"/>
  <c r="N37" i="9"/>
  <c r="M37" i="9"/>
  <c r="N36" i="9"/>
  <c r="M36" i="9"/>
  <c r="N35" i="9"/>
  <c r="M35" i="9"/>
  <c r="N34" i="9"/>
  <c r="M34" i="9"/>
  <c r="N33" i="9"/>
  <c r="M33" i="9"/>
  <c r="N32" i="9"/>
  <c r="M32" i="9"/>
  <c r="N31" i="9"/>
  <c r="M31" i="9"/>
  <c r="N30" i="9"/>
  <c r="M30" i="9"/>
  <c r="N29" i="9"/>
  <c r="M29" i="9"/>
  <c r="N28" i="9"/>
  <c r="M28" i="9"/>
  <c r="N27" i="9"/>
  <c r="M27" i="9"/>
  <c r="N26" i="9"/>
  <c r="M26" i="9"/>
  <c r="N25" i="9"/>
  <c r="M25" i="9"/>
  <c r="N24" i="9"/>
  <c r="M24" i="9"/>
  <c r="N23" i="9"/>
  <c r="M23" i="9"/>
  <c r="N22" i="9"/>
  <c r="M22" i="9"/>
  <c r="N21" i="9"/>
  <c r="M21" i="9"/>
  <c r="N20" i="9"/>
  <c r="M20" i="9"/>
  <c r="N19" i="9"/>
  <c r="M19" i="9"/>
  <c r="N18" i="9"/>
  <c r="M18" i="9"/>
  <c r="N17" i="9"/>
  <c r="M17" i="9"/>
  <c r="N16" i="9"/>
  <c r="M16" i="9"/>
  <c r="N15" i="9"/>
  <c r="M15" i="9"/>
  <c r="N14" i="9"/>
  <c r="M14" i="9"/>
  <c r="N13" i="9"/>
  <c r="M13" i="9"/>
  <c r="N12" i="9"/>
  <c r="M12" i="9"/>
  <c r="N11" i="9"/>
  <c r="M11" i="9"/>
  <c r="N10" i="9"/>
  <c r="M10" i="9"/>
  <c r="N9" i="9"/>
  <c r="M9" i="9"/>
  <c r="N8" i="9"/>
  <c r="M8" i="9"/>
  <c r="N7" i="9"/>
  <c r="M7" i="9"/>
  <c r="N6" i="9"/>
  <c r="M6" i="9"/>
  <c r="B6" i="9"/>
  <c r="N5" i="9"/>
  <c r="M5" i="9"/>
  <c r="B5" i="9"/>
  <c r="N4" i="9"/>
  <c r="M4" i="9"/>
  <c r="N3" i="9"/>
  <c r="M3" i="9"/>
  <c r="N2" i="9"/>
  <c r="M2" i="9"/>
  <c r="H24" i="8"/>
  <c r="D24" i="8" a="1"/>
  <c r="D24" i="8" s="1"/>
  <c r="E24" i="8" s="1"/>
  <c r="I24" i="8" s="1"/>
  <c r="C24" i="8" a="1"/>
  <c r="C24" i="8" s="1"/>
  <c r="C49" i="12" s="1"/>
  <c r="B24" i="8" a="1"/>
  <c r="B24" i="8"/>
  <c r="H23" i="8"/>
  <c r="D23" i="8" a="1"/>
  <c r="D23" i="8" s="1"/>
  <c r="C23" i="8" a="1"/>
  <c r="C23" i="8" s="1"/>
  <c r="C48" i="12" s="1"/>
  <c r="B23" i="8" a="1"/>
  <c r="B23" i="8" s="1"/>
  <c r="H22" i="8"/>
  <c r="D22" i="8" a="1"/>
  <c r="D22" i="8" s="1"/>
  <c r="C22" i="8" a="1"/>
  <c r="C22" i="8"/>
  <c r="C47" i="12" s="1"/>
  <c r="B22" i="8" a="1"/>
  <c r="B22" i="8"/>
  <c r="H21" i="8"/>
  <c r="D21" i="8" a="1"/>
  <c r="D21" i="8"/>
  <c r="C21" i="8" a="1"/>
  <c r="C21" i="8"/>
  <c r="C46" i="12" s="1"/>
  <c r="E46" i="12" s="1"/>
  <c r="B21" i="8" a="1"/>
  <c r="B21" i="8" s="1"/>
  <c r="B15" i="8"/>
  <c r="B12" i="8" a="1"/>
  <c r="B12" i="8"/>
  <c r="G7" i="8"/>
  <c r="F7" i="8"/>
  <c r="C12" i="15" s="1"/>
  <c r="E7" i="8"/>
  <c r="D7" i="8"/>
  <c r="C7" i="8"/>
  <c r="B7" i="8"/>
  <c r="F6" i="8"/>
  <c r="E6" i="8" a="1"/>
  <c r="E6" i="8" s="1"/>
  <c r="D6" i="8" a="1"/>
  <c r="D6" i="8" s="1"/>
  <c r="C6" i="8"/>
  <c r="B6" i="8"/>
  <c r="C20" i="7"/>
  <c r="C19" i="7"/>
  <c r="C18" i="7"/>
  <c r="F13" i="7"/>
  <c r="D13" i="7"/>
  <c r="E13" i="7" s="1"/>
  <c r="C13" i="7"/>
  <c r="B13" i="7"/>
  <c r="E7" i="7"/>
  <c r="F7" i="7" s="1"/>
  <c r="D7" i="7"/>
  <c r="C7" i="7"/>
  <c r="E6" i="7" a="1"/>
  <c r="E6" i="7" s="1"/>
  <c r="D6" i="7"/>
  <c r="C6" i="7"/>
  <c r="F24" i="6"/>
  <c r="D24" i="6"/>
  <c r="C24" i="6"/>
  <c r="G24" i="6" s="1"/>
  <c r="B24" i="6"/>
  <c r="F23" i="6"/>
  <c r="G23" i="6" s="1"/>
  <c r="E23" i="6"/>
  <c r="C23" i="6"/>
  <c r="B23" i="6"/>
  <c r="E22" i="6"/>
  <c r="C22" i="6"/>
  <c r="B22" i="6"/>
  <c r="F22" i="6" s="1"/>
  <c r="G22" i="6" s="1"/>
  <c r="C21" i="6"/>
  <c r="F21" i="6" s="1"/>
  <c r="G21" i="6" s="1"/>
  <c r="B21" i="6"/>
  <c r="F20" i="6"/>
  <c r="G20" i="6" s="1"/>
  <c r="E20" i="6"/>
  <c r="C20" i="6"/>
  <c r="B20" i="6"/>
  <c r="C15" i="6"/>
  <c r="D15" i="6" s="1"/>
  <c r="B15" i="6"/>
  <c r="C14" i="6"/>
  <c r="D14" i="6" s="1"/>
  <c r="B14" i="6"/>
  <c r="D8" i="6"/>
  <c r="C8" i="6"/>
  <c r="B8" i="6"/>
  <c r="C7" i="6"/>
  <c r="D7" i="6" s="1"/>
  <c r="B7" i="6"/>
  <c r="D6" i="6"/>
  <c r="C6" i="6"/>
  <c r="B6" i="6"/>
  <c r="C5" i="6"/>
  <c r="D5" i="6" s="1"/>
  <c r="B5" i="6"/>
  <c r="E7" i="6" l="1"/>
  <c r="F7" i="6"/>
  <c r="C7" i="15"/>
  <c r="H13" i="7"/>
  <c r="G13" i="7"/>
  <c r="E5" i="6"/>
  <c r="F5" i="6"/>
  <c r="F8" i="6"/>
  <c r="H7" i="7"/>
  <c r="F6" i="6"/>
  <c r="E8" i="6"/>
  <c r="E21" i="6"/>
  <c r="F6" i="7"/>
  <c r="F24" i="8"/>
  <c r="G6" i="9"/>
  <c r="C16" i="8"/>
  <c r="B16" i="8"/>
  <c r="B17" i="8" s="1"/>
  <c r="E23" i="8"/>
  <c r="E6" i="6"/>
  <c r="C10" i="15"/>
  <c r="G6" i="8"/>
  <c r="E21" i="8"/>
  <c r="E22" i="8"/>
  <c r="E24" i="6"/>
  <c r="B14" i="8"/>
  <c r="C6" i="9"/>
  <c r="G5" i="9"/>
  <c r="F5" i="9"/>
  <c r="E5" i="9"/>
  <c r="D5" i="9"/>
  <c r="C5" i="9"/>
  <c r="C13" i="15"/>
  <c r="C11" i="15"/>
  <c r="B13" i="8"/>
  <c r="D6" i="9"/>
  <c r="E6" i="9"/>
  <c r="E74" i="11"/>
  <c r="F74" i="11" s="1"/>
  <c r="F6" i="9"/>
  <c r="F6" i="11"/>
  <c r="F18" i="11"/>
  <c r="E36" i="11"/>
  <c r="F36" i="11" s="1"/>
  <c r="F45" i="11"/>
  <c r="F12" i="11"/>
  <c r="G18" i="11"/>
  <c r="E25" i="11"/>
  <c r="F25" i="11" s="1"/>
  <c r="E37" i="11"/>
  <c r="G37" i="11" s="1"/>
  <c r="F42" i="11"/>
  <c r="E42" i="11"/>
  <c r="G42" i="11" s="1"/>
  <c r="E46" i="11"/>
  <c r="F46" i="11" s="1"/>
  <c r="G85" i="11"/>
  <c r="E85" i="11"/>
  <c r="F85" i="11"/>
  <c r="G7" i="11"/>
  <c r="F7" i="11"/>
  <c r="G13" i="11"/>
  <c r="G19" i="11"/>
  <c r="E43" i="11"/>
  <c r="F43" i="11" s="1"/>
  <c r="E33" i="11"/>
  <c r="F33" i="11" s="1"/>
  <c r="G33" i="11"/>
  <c r="E52" i="11"/>
  <c r="F52" i="11" s="1"/>
  <c r="F71" i="11"/>
  <c r="E71" i="11"/>
  <c r="G71" i="11" s="1"/>
  <c r="G10" i="11"/>
  <c r="F14" i="11"/>
  <c r="F27" i="11"/>
  <c r="F34" i="11"/>
  <c r="G34" i="11"/>
  <c r="E34" i="11"/>
  <c r="F48" i="11"/>
  <c r="E53" i="11"/>
  <c r="G53" i="11" s="1"/>
  <c r="F53" i="11"/>
  <c r="G11" i="11"/>
  <c r="F11" i="11"/>
  <c r="E27" i="11"/>
  <c r="G27" i="11" s="1"/>
  <c r="E39" i="11"/>
  <c r="F39" i="11" s="1"/>
  <c r="E48" i="11"/>
  <c r="G48" i="11" s="1"/>
  <c r="E100" i="11"/>
  <c r="F100" i="11" s="1"/>
  <c r="E117" i="11"/>
  <c r="G117" i="11" s="1"/>
  <c r="F50" i="11"/>
  <c r="E78" i="11"/>
  <c r="G78" i="11" s="1"/>
  <c r="E97" i="11"/>
  <c r="F97" i="11" s="1"/>
  <c r="E101" i="11"/>
  <c r="G101" i="11" s="1"/>
  <c r="E113" i="11"/>
  <c r="G113" i="11" s="1"/>
  <c r="G132" i="11"/>
  <c r="G41" i="11"/>
  <c r="E50" i="11"/>
  <c r="E64" i="11"/>
  <c r="F64" i="11" s="1"/>
  <c r="F68" i="11"/>
  <c r="E68" i="11"/>
  <c r="G86" i="11"/>
  <c r="G97" i="11"/>
  <c r="F101" i="11"/>
  <c r="G50" i="11"/>
  <c r="F65" i="11"/>
  <c r="E65" i="11"/>
  <c r="G68" i="11"/>
  <c r="G75" i="11"/>
  <c r="F94" i="11"/>
  <c r="E94" i="11"/>
  <c r="G94" i="11" s="1"/>
  <c r="G102" i="11"/>
  <c r="G9" i="11"/>
  <c r="F9" i="11"/>
  <c r="G17" i="11"/>
  <c r="F20" i="11"/>
  <c r="F23" i="11"/>
  <c r="F26" i="11"/>
  <c r="E26" i="11"/>
  <c r="G26" i="11" s="1"/>
  <c r="F32" i="11"/>
  <c r="G32" i="11"/>
  <c r="F41" i="11"/>
  <c r="G51" i="11"/>
  <c r="F55" i="11"/>
  <c r="F58" i="11"/>
  <c r="E58" i="11"/>
  <c r="G58" i="11" s="1"/>
  <c r="G61" i="11"/>
  <c r="G65" i="11"/>
  <c r="E69" i="11"/>
  <c r="F69" i="11" s="1"/>
  <c r="G83" i="11"/>
  <c r="F87" i="11"/>
  <c r="E90" i="11"/>
  <c r="F90" i="11" s="1"/>
  <c r="F110" i="11"/>
  <c r="E110" i="11"/>
  <c r="E62" i="11"/>
  <c r="G62" i="11" s="1"/>
  <c r="G73" i="11"/>
  <c r="F80" i="11"/>
  <c r="G80" i="11"/>
  <c r="E87" i="11"/>
  <c r="G87" i="11" s="1"/>
  <c r="F91" i="11"/>
  <c r="E91" i="11"/>
  <c r="G91" i="11" s="1"/>
  <c r="F103" i="11"/>
  <c r="F106" i="11"/>
  <c r="G106" i="11"/>
  <c r="E106" i="11"/>
  <c r="G110" i="11"/>
  <c r="E84" i="11"/>
  <c r="F84" i="11" s="1"/>
  <c r="E107" i="11"/>
  <c r="G107" i="11" s="1"/>
  <c r="E21" i="11"/>
  <c r="F21" i="11" s="1"/>
  <c r="E30" i="11"/>
  <c r="G30" i="11" s="1"/>
  <c r="F49" i="11"/>
  <c r="E49" i="11"/>
  <c r="G49" i="11" s="1"/>
  <c r="G59" i="11"/>
  <c r="E81" i="11"/>
  <c r="G81" i="11" s="1"/>
  <c r="G84" i="11"/>
  <c r="F66" i="11"/>
  <c r="G79" i="11"/>
  <c r="F82" i="11"/>
  <c r="G95" i="11"/>
  <c r="F98" i="11"/>
  <c r="G111" i="11"/>
  <c r="F114" i="11"/>
  <c r="E116" i="11"/>
  <c r="G116" i="11" s="1"/>
  <c r="E123" i="11"/>
  <c r="G123" i="11" s="1"/>
  <c r="E128" i="11"/>
  <c r="G128" i="11" s="1"/>
  <c r="F130" i="11"/>
  <c r="E133" i="11"/>
  <c r="F133" i="11" s="1"/>
  <c r="G133" i="11"/>
  <c r="F138" i="11"/>
  <c r="E160" i="11"/>
  <c r="G160" i="11" s="1"/>
  <c r="F96" i="11"/>
  <c r="F112" i="11"/>
  <c r="G126" i="11"/>
  <c r="F128" i="11"/>
  <c r="G138" i="11"/>
  <c r="E131" i="11"/>
  <c r="G131" i="11" s="1"/>
  <c r="E139" i="11"/>
  <c r="F139" i="11" s="1"/>
  <c r="G152" i="11"/>
  <c r="F152" i="11"/>
  <c r="F28" i="11"/>
  <c r="F44" i="11"/>
  <c r="F60" i="11"/>
  <c r="F76" i="11"/>
  <c r="F92" i="11"/>
  <c r="G96" i="11"/>
  <c r="F108" i="11"/>
  <c r="G112" i="11"/>
  <c r="F124" i="11"/>
  <c r="E134" i="11"/>
  <c r="F134" i="11" s="1"/>
  <c r="E153" i="11"/>
  <c r="G153" i="11" s="1"/>
  <c r="E169" i="11"/>
  <c r="F169" i="11" s="1"/>
  <c r="G169" i="11"/>
  <c r="E201" i="11"/>
  <c r="F201" i="11" s="1"/>
  <c r="G201" i="11"/>
  <c r="G210" i="11"/>
  <c r="F210" i="11"/>
  <c r="F140" i="11"/>
  <c r="G194" i="11"/>
  <c r="F194" i="11"/>
  <c r="F13" i="11"/>
  <c r="F15" i="11"/>
  <c r="F17" i="11"/>
  <c r="F19" i="11"/>
  <c r="G28" i="11"/>
  <c r="F35" i="11"/>
  <c r="G44" i="11"/>
  <c r="F51" i="11"/>
  <c r="F56" i="11"/>
  <c r="F72" i="11"/>
  <c r="F120" i="11"/>
  <c r="E122" i="11"/>
  <c r="F122" i="11" s="1"/>
  <c r="F127" i="11"/>
  <c r="E132" i="11"/>
  <c r="E137" i="11"/>
  <c r="G137" i="11" s="1"/>
  <c r="F137" i="11"/>
  <c r="E140" i="11"/>
  <c r="E143" i="11"/>
  <c r="F143" i="11"/>
  <c r="E146" i="11"/>
  <c r="G146" i="11" s="1"/>
  <c r="E150" i="11"/>
  <c r="F150" i="11" s="1"/>
  <c r="E166" i="11"/>
  <c r="G166" i="11" s="1"/>
  <c r="E185" i="11"/>
  <c r="G185" i="11"/>
  <c r="F185" i="11"/>
  <c r="F22" i="11"/>
  <c r="E24" i="11"/>
  <c r="G24" i="11" s="1"/>
  <c r="F38" i="11"/>
  <c r="E40" i="11"/>
  <c r="G40" i="11" s="1"/>
  <c r="F54" i="11"/>
  <c r="E56" i="11"/>
  <c r="G56" i="11" s="1"/>
  <c r="F70" i="11"/>
  <c r="E72" i="11"/>
  <c r="G72" i="11" s="1"/>
  <c r="F86" i="11"/>
  <c r="E88" i="11"/>
  <c r="G88" i="11" s="1"/>
  <c r="F102" i="11"/>
  <c r="E104" i="11"/>
  <c r="G104" i="11" s="1"/>
  <c r="F118" i="11"/>
  <c r="E120" i="11"/>
  <c r="G120" i="11" s="1"/>
  <c r="G122" i="11"/>
  <c r="G127" i="11"/>
  <c r="F132" i="11"/>
  <c r="G140" i="11"/>
  <c r="G143" i="11"/>
  <c r="E147" i="11"/>
  <c r="G147" i="11" s="1"/>
  <c r="G150" i="11"/>
  <c r="G158" i="11"/>
  <c r="F116" i="11"/>
  <c r="E144" i="11"/>
  <c r="G144" i="11" s="1"/>
  <c r="E159" i="11"/>
  <c r="G159" i="11" s="1"/>
  <c r="G178" i="11"/>
  <c r="F178" i="11"/>
  <c r="G154" i="11"/>
  <c r="F168" i="11"/>
  <c r="G170" i="11"/>
  <c r="F175" i="11"/>
  <c r="F184" i="11"/>
  <c r="F191" i="11"/>
  <c r="F200" i="11"/>
  <c r="F207" i="11"/>
  <c r="F216" i="11"/>
  <c r="F223" i="11"/>
  <c r="F235" i="11"/>
  <c r="F239" i="11"/>
  <c r="G175" i="11"/>
  <c r="G191" i="11"/>
  <c r="G207" i="11"/>
  <c r="G223" i="11"/>
  <c r="F242" i="11"/>
  <c r="G242" i="11"/>
  <c r="E242" i="11"/>
  <c r="F219" i="11"/>
  <c r="F228" i="11"/>
  <c r="F243" i="11"/>
  <c r="E243" i="11"/>
  <c r="G155" i="11"/>
  <c r="F162" i="11"/>
  <c r="G171" i="11"/>
  <c r="G187" i="11"/>
  <c r="G203" i="11"/>
  <c r="F217" i="11"/>
  <c r="G219" i="11"/>
  <c r="F226" i="11"/>
  <c r="F233" i="11"/>
  <c r="F236" i="11"/>
  <c r="G236" i="11"/>
  <c r="E236" i="11"/>
  <c r="G243" i="11"/>
  <c r="D6" i="12"/>
  <c r="I34" i="8" s="1"/>
  <c r="F151" i="11"/>
  <c r="E158" i="11"/>
  <c r="F158" i="11" s="1"/>
  <c r="F167" i="11"/>
  <c r="F183" i="11"/>
  <c r="F199" i="11"/>
  <c r="F215" i="11"/>
  <c r="G217" i="11"/>
  <c r="F224" i="11"/>
  <c r="F231" i="11"/>
  <c r="G233" i="11"/>
  <c r="E237" i="11"/>
  <c r="F237" i="11" s="1"/>
  <c r="G237" i="11"/>
  <c r="G244" i="11"/>
  <c r="E259" i="11"/>
  <c r="G259" i="11" s="1"/>
  <c r="F222" i="11"/>
  <c r="G149" i="11"/>
  <c r="F163" i="11"/>
  <c r="G165" i="11"/>
  <c r="F179" i="11"/>
  <c r="G181" i="11"/>
  <c r="F195" i="11"/>
  <c r="G197" i="11"/>
  <c r="F211" i="11"/>
  <c r="G213" i="11"/>
  <c r="F227" i="11"/>
  <c r="G229" i="11"/>
  <c r="F238" i="11"/>
  <c r="G238" i="11"/>
  <c r="G245" i="11"/>
  <c r="F252" i="11"/>
  <c r="G252" i="11"/>
  <c r="E252" i="11"/>
  <c r="F268" i="11"/>
  <c r="G268" i="11"/>
  <c r="E268" i="11"/>
  <c r="E249" i="11"/>
  <c r="G249" i="11" s="1"/>
  <c r="G261" i="11"/>
  <c r="E47" i="12"/>
  <c r="F258" i="11"/>
  <c r="F274" i="11"/>
  <c r="F240" i="11"/>
  <c r="G253" i="11"/>
  <c r="F256" i="11"/>
  <c r="E258" i="11"/>
  <c r="G258" i="11" s="1"/>
  <c r="E265" i="11"/>
  <c r="G265" i="11" s="1"/>
  <c r="G269" i="11"/>
  <c r="F272" i="11"/>
  <c r="E274" i="11"/>
  <c r="G274" i="11" s="1"/>
  <c r="E281" i="11"/>
  <c r="G281" i="11" s="1"/>
  <c r="F283" i="11"/>
  <c r="F288" i="11"/>
  <c r="E290" i="11"/>
  <c r="F290" i="11" s="1"/>
  <c r="F299" i="11"/>
  <c r="E304" i="11" a="1"/>
  <c r="E304" i="11" s="1"/>
  <c r="F304" i="11" s="1"/>
  <c r="E48" i="12"/>
  <c r="F254" i="11"/>
  <c r="F270" i="11"/>
  <c r="F286" i="11"/>
  <c r="G290" i="11"/>
  <c r="F302" i="11"/>
  <c r="E49" i="12"/>
  <c r="F234" i="11"/>
  <c r="F245" i="11"/>
  <c r="F250" i="11"/>
  <c r="G254" i="11"/>
  <c r="F261" i="11"/>
  <c r="F266" i="11"/>
  <c r="G270" i="11"/>
  <c r="E275" i="11"/>
  <c r="G275" i="11" s="1"/>
  <c r="F277" i="11"/>
  <c r="E284" i="11"/>
  <c r="F284" i="11" s="1"/>
  <c r="G286" i="11"/>
  <c r="F293" i="11"/>
  <c r="E300" i="11"/>
  <c r="F300" i="11" s="1"/>
  <c r="G302" i="11"/>
  <c r="F248" i="11"/>
  <c r="F264" i="11"/>
  <c r="F275" i="11"/>
  <c r="F280" i="11"/>
  <c r="E282" i="11"/>
  <c r="G282" i="11" s="1"/>
  <c r="G284" i="11"/>
  <c r="F296" i="11"/>
  <c r="E298" i="11"/>
  <c r="G298" i="11" s="1"/>
  <c r="B6" i="12"/>
  <c r="A7" i="12" s="1"/>
  <c r="C6" i="12"/>
  <c r="H34" i="8" s="1"/>
  <c r="F244" i="11"/>
  <c r="E246" i="11"/>
  <c r="G246" i="11" s="1"/>
  <c r="G248" i="11"/>
  <c r="F260" i="11"/>
  <c r="E262" i="11"/>
  <c r="G262" i="11" s="1"/>
  <c r="G264" i="11"/>
  <c r="F276" i="11"/>
  <c r="E278" i="11"/>
  <c r="G278" i="11" s="1"/>
  <c r="F292" i="11"/>
  <c r="E294" i="11"/>
  <c r="G294" i="11" s="1"/>
  <c r="C29" i="13"/>
  <c r="C43" i="13"/>
  <c r="B57" i="13"/>
  <c r="B65" i="13"/>
  <c r="B73" i="13"/>
  <c r="B81" i="13"/>
  <c r="B89" i="13"/>
  <c r="B97" i="13"/>
  <c r="B105" i="13"/>
  <c r="B113" i="13"/>
  <c r="B121" i="13"/>
  <c r="B129" i="13"/>
  <c r="B137" i="13"/>
  <c r="B145" i="13"/>
  <c r="B153" i="13"/>
  <c r="B161" i="13"/>
  <c r="B169" i="13"/>
  <c r="B177" i="13"/>
  <c r="B185" i="13"/>
  <c r="B193" i="13"/>
  <c r="B201" i="13"/>
  <c r="B209" i="13"/>
  <c r="B217" i="13"/>
  <c r="B225" i="13"/>
  <c r="B233" i="13"/>
  <c r="B241" i="13"/>
  <c r="B249" i="13"/>
  <c r="B257" i="13"/>
  <c r="B265" i="13"/>
  <c r="B273" i="13"/>
  <c r="B281" i="13"/>
  <c r="B289" i="13"/>
  <c r="B297" i="13"/>
  <c r="B305" i="13"/>
  <c r="B313" i="13"/>
  <c r="B321" i="13"/>
  <c r="B329" i="13"/>
  <c r="B337" i="13"/>
  <c r="B345" i="13"/>
  <c r="B353" i="13"/>
  <c r="C27" i="14"/>
  <c r="C30" i="13"/>
  <c r="C44" i="13"/>
  <c r="B58" i="13"/>
  <c r="B66" i="13"/>
  <c r="B74" i="13"/>
  <c r="B82" i="13"/>
  <c r="B90" i="13"/>
  <c r="B98" i="13"/>
  <c r="B106" i="13"/>
  <c r="B114" i="13"/>
  <c r="B122" i="13"/>
  <c r="B130" i="13"/>
  <c r="B138" i="13"/>
  <c r="B146" i="13"/>
  <c r="B154" i="13"/>
  <c r="B162" i="13"/>
  <c r="B170" i="13"/>
  <c r="B178" i="13"/>
  <c r="B186" i="13"/>
  <c r="B194" i="13"/>
  <c r="B202" i="13"/>
  <c r="B210" i="13"/>
  <c r="B218" i="13"/>
  <c r="B226" i="13"/>
  <c r="B234" i="13"/>
  <c r="B242" i="13"/>
  <c r="B250" i="13"/>
  <c r="B258" i="13"/>
  <c r="B266" i="13"/>
  <c r="B274" i="13"/>
  <c r="B282" i="13"/>
  <c r="B290" i="13"/>
  <c r="B298" i="13"/>
  <c r="B306" i="13"/>
  <c r="B314" i="13"/>
  <c r="B322" i="13"/>
  <c r="B330" i="13"/>
  <c r="B338" i="13"/>
  <c r="B346" i="13"/>
  <c r="B354" i="13"/>
  <c r="C28" i="14"/>
  <c r="D41" i="14"/>
  <c r="D45" i="14"/>
  <c r="D49" i="14"/>
  <c r="C31" i="13"/>
  <c r="C45" i="13"/>
  <c r="B59" i="13"/>
  <c r="B67" i="13"/>
  <c r="B75" i="13"/>
  <c r="B83" i="13"/>
  <c r="B91" i="13"/>
  <c r="B99" i="13"/>
  <c r="B107" i="13"/>
  <c r="B115" i="13"/>
  <c r="B123" i="13"/>
  <c r="B131" i="13"/>
  <c r="B139" i="13"/>
  <c r="B147" i="13"/>
  <c r="B155" i="13"/>
  <c r="B163" i="13"/>
  <c r="B171" i="13"/>
  <c r="B179" i="13"/>
  <c r="B187" i="13"/>
  <c r="B195" i="13"/>
  <c r="B203" i="13"/>
  <c r="B211" i="13"/>
  <c r="B219" i="13"/>
  <c r="B227" i="13"/>
  <c r="B235" i="13"/>
  <c r="B243" i="13"/>
  <c r="B251" i="13"/>
  <c r="B259" i="13"/>
  <c r="B267" i="13"/>
  <c r="B275" i="13"/>
  <c r="B283" i="13"/>
  <c r="B291" i="13"/>
  <c r="B299" i="13"/>
  <c r="B307" i="13"/>
  <c r="B315" i="13"/>
  <c r="B323" i="13"/>
  <c r="B331" i="13"/>
  <c r="B339" i="13"/>
  <c r="B347" i="13"/>
  <c r="C29" i="14"/>
  <c r="C50" i="14"/>
  <c r="B60" i="13"/>
  <c r="B68" i="13"/>
  <c r="B76" i="13"/>
  <c r="B84" i="13"/>
  <c r="B92" i="13"/>
  <c r="B100" i="13"/>
  <c r="B108" i="13"/>
  <c r="B116" i="13"/>
  <c r="B124" i="13"/>
  <c r="B132" i="13"/>
  <c r="B140" i="13"/>
  <c r="B148" i="13"/>
  <c r="B156" i="13"/>
  <c r="B164" i="13"/>
  <c r="B172" i="13"/>
  <c r="B180" i="13"/>
  <c r="B188" i="13"/>
  <c r="B196" i="13"/>
  <c r="B204" i="13"/>
  <c r="B212" i="13"/>
  <c r="B220" i="13"/>
  <c r="B228" i="13"/>
  <c r="B236" i="13"/>
  <c r="B244" i="13"/>
  <c r="B252" i="13"/>
  <c r="B260" i="13"/>
  <c r="B268" i="13"/>
  <c r="B276" i="13"/>
  <c r="B284" i="13"/>
  <c r="B292" i="13"/>
  <c r="B300" i="13"/>
  <c r="B308" i="13"/>
  <c r="B316" i="13"/>
  <c r="B324" i="13"/>
  <c r="B332" i="13"/>
  <c r="B340" i="13"/>
  <c r="B348" i="13"/>
  <c r="C30" i="14"/>
  <c r="C31" i="14" s="1"/>
  <c r="D42" i="14"/>
  <c r="D46" i="14"/>
  <c r="C39" i="13"/>
  <c r="B61" i="13"/>
  <c r="B69" i="13"/>
  <c r="B77" i="13"/>
  <c r="B85" i="13"/>
  <c r="B93" i="13"/>
  <c r="B101" i="13"/>
  <c r="B109" i="13"/>
  <c r="B117" i="13"/>
  <c r="B125" i="13"/>
  <c r="B133" i="13"/>
  <c r="B141" i="13"/>
  <c r="B149" i="13"/>
  <c r="B157" i="13"/>
  <c r="B165" i="13"/>
  <c r="B173" i="13"/>
  <c r="B181" i="13"/>
  <c r="B189" i="13"/>
  <c r="B197" i="13"/>
  <c r="B205" i="13"/>
  <c r="B213" i="13"/>
  <c r="B221" i="13"/>
  <c r="B229" i="13"/>
  <c r="B237" i="13"/>
  <c r="B245" i="13"/>
  <c r="B253" i="13"/>
  <c r="B261" i="13"/>
  <c r="B269" i="13"/>
  <c r="B277" i="13"/>
  <c r="B285" i="13"/>
  <c r="B293" i="13"/>
  <c r="B301" i="13"/>
  <c r="B309" i="13"/>
  <c r="B317" i="13"/>
  <c r="B325" i="13"/>
  <c r="B333" i="13"/>
  <c r="B341" i="13"/>
  <c r="B349" i="13"/>
  <c r="C7" i="14"/>
  <c r="C40" i="13"/>
  <c r="B55" i="13"/>
  <c r="B62" i="13"/>
  <c r="B70" i="13"/>
  <c r="B78" i="13"/>
  <c r="B86" i="13"/>
  <c r="B94" i="13"/>
  <c r="B102" i="13"/>
  <c r="B110" i="13"/>
  <c r="B118" i="13"/>
  <c r="B126" i="13"/>
  <c r="B134" i="13"/>
  <c r="B142" i="13"/>
  <c r="B150" i="13"/>
  <c r="B158" i="13"/>
  <c r="B166" i="13"/>
  <c r="B174" i="13"/>
  <c r="B182" i="13"/>
  <c r="B190" i="13"/>
  <c r="B198" i="13"/>
  <c r="B206" i="13"/>
  <c r="B214" i="13"/>
  <c r="B222" i="13"/>
  <c r="B230" i="13"/>
  <c r="B238" i="13"/>
  <c r="B246" i="13"/>
  <c r="B254" i="13"/>
  <c r="B262" i="13"/>
  <c r="B270" i="13"/>
  <c r="B278" i="13"/>
  <c r="B286" i="13"/>
  <c r="B294" i="13"/>
  <c r="B302" i="13"/>
  <c r="B310" i="13"/>
  <c r="B318" i="13"/>
  <c r="B326" i="13"/>
  <c r="B334" i="13"/>
  <c r="B342" i="13"/>
  <c r="B350" i="13"/>
  <c r="C8" i="14"/>
  <c r="B10" i="14" s="1"/>
  <c r="B33" i="14"/>
  <c r="D43" i="14"/>
  <c r="D47" i="14"/>
  <c r="C41" i="13"/>
  <c r="B63" i="13"/>
  <c r="B71" i="13"/>
  <c r="B79" i="13"/>
  <c r="B87" i="13"/>
  <c r="B95" i="13"/>
  <c r="B103" i="13"/>
  <c r="B111" i="13"/>
  <c r="B119" i="13"/>
  <c r="B127" i="13"/>
  <c r="B135" i="13"/>
  <c r="B143" i="13"/>
  <c r="B151" i="13"/>
  <c r="B159" i="13"/>
  <c r="B167" i="13"/>
  <c r="B175" i="13"/>
  <c r="B183" i="13"/>
  <c r="B191" i="13"/>
  <c r="B199" i="13"/>
  <c r="B207" i="13"/>
  <c r="B215" i="13"/>
  <c r="B223" i="13"/>
  <c r="B231" i="13"/>
  <c r="B239" i="13"/>
  <c r="B247" i="13"/>
  <c r="B255" i="13"/>
  <c r="B263" i="13"/>
  <c r="B271" i="13"/>
  <c r="B279" i="13"/>
  <c r="B287" i="13"/>
  <c r="B295" i="13"/>
  <c r="B303" i="13"/>
  <c r="B311" i="13"/>
  <c r="B319" i="13"/>
  <c r="B327" i="13"/>
  <c r="B335" i="13"/>
  <c r="B343" i="13"/>
  <c r="D40" i="14"/>
  <c r="B52" i="14" s="1"/>
  <c r="D44" i="14"/>
  <c r="D7" i="12" l="1"/>
  <c r="I35" i="8" s="1"/>
  <c r="B7" i="12"/>
  <c r="A8" i="12" s="1"/>
  <c r="C7" i="12"/>
  <c r="H35" i="8" s="1"/>
  <c r="F166" i="11"/>
  <c r="G21" i="11"/>
  <c r="J5" i="11" s="1"/>
  <c r="F78" i="11"/>
  <c r="G100" i="11"/>
  <c r="F37" i="11"/>
  <c r="F22" i="8"/>
  <c r="I22" i="8"/>
  <c r="G304" i="11"/>
  <c r="G300" i="11"/>
  <c r="F282" i="11"/>
  <c r="F144" i="11"/>
  <c r="F153" i="11"/>
  <c r="G139" i="11"/>
  <c r="F123" i="11"/>
  <c r="B20" i="7" s="1"/>
  <c r="F81" i="11"/>
  <c r="F107" i="11"/>
  <c r="F62" i="11"/>
  <c r="F113" i="11"/>
  <c r="G64" i="11"/>
  <c r="G74" i="11"/>
  <c r="E18" i="9"/>
  <c r="B17" i="9"/>
  <c r="D17" i="9"/>
  <c r="I21" i="8"/>
  <c r="F21" i="8"/>
  <c r="C5" i="15"/>
  <c r="C4" i="15"/>
  <c r="H6" i="7"/>
  <c r="G6" i="7"/>
  <c r="A8" i="7"/>
  <c r="E9" i="6"/>
  <c r="G5" i="6"/>
  <c r="F265" i="11"/>
  <c r="G69" i="11"/>
  <c r="G43" i="11"/>
  <c r="G46" i="11"/>
  <c r="C55" i="13"/>
  <c r="F40" i="11"/>
  <c r="F131" i="11"/>
  <c r="G36" i="11"/>
  <c r="D16" i="9"/>
  <c r="B16" i="9"/>
  <c r="F23" i="8"/>
  <c r="I23" i="8"/>
  <c r="G8" i="6"/>
  <c r="F262" i="11"/>
  <c r="G134" i="11"/>
  <c r="G39" i="11"/>
  <c r="G52" i="11"/>
  <c r="J7" i="11" s="1"/>
  <c r="G25" i="11"/>
  <c r="J5" i="9"/>
  <c r="C16" i="9"/>
  <c r="H5" i="9"/>
  <c r="F16" i="9" s="1"/>
  <c r="C17" i="8"/>
  <c r="A45" i="8" s="1"/>
  <c r="D50" i="14"/>
  <c r="F298" i="11"/>
  <c r="F249" i="11"/>
  <c r="F259" i="11"/>
  <c r="F281" i="11"/>
  <c r="F159" i="11"/>
  <c r="F104" i="11"/>
  <c r="F146" i="11"/>
  <c r="F160" i="11"/>
  <c r="G90" i="11"/>
  <c r="F117" i="11"/>
  <c r="G6" i="6"/>
  <c r="G7" i="7"/>
  <c r="F294" i="11"/>
  <c r="F278" i="11"/>
  <c r="F246" i="11"/>
  <c r="F147" i="11"/>
  <c r="F88" i="11"/>
  <c r="F24" i="11"/>
  <c r="B19" i="7" s="1"/>
  <c r="D19" i="7" s="1"/>
  <c r="F30" i="11"/>
  <c r="H6" i="9"/>
  <c r="F17" i="9" s="1"/>
  <c r="C17" i="9"/>
  <c r="E17" i="9" s="1"/>
  <c r="J6" i="9"/>
  <c r="G7" i="6"/>
  <c r="R120" i="9" l="1"/>
  <c r="R112" i="9"/>
  <c r="R104" i="9"/>
  <c r="R96" i="9"/>
  <c r="R88" i="9"/>
  <c r="R80" i="9"/>
  <c r="R72" i="9"/>
  <c r="R64" i="9"/>
  <c r="R108" i="9"/>
  <c r="R95" i="9"/>
  <c r="R76" i="9"/>
  <c r="R63" i="9"/>
  <c r="R58" i="9"/>
  <c r="R50" i="9"/>
  <c r="R42" i="9"/>
  <c r="R34" i="9"/>
  <c r="R26" i="9"/>
  <c r="R18" i="9"/>
  <c r="R121" i="9"/>
  <c r="R119" i="9"/>
  <c r="R100" i="9"/>
  <c r="R89" i="9"/>
  <c r="R87" i="9"/>
  <c r="R68" i="9"/>
  <c r="R59" i="9"/>
  <c r="R51" i="9"/>
  <c r="R43" i="9"/>
  <c r="R35" i="9"/>
  <c r="R27" i="9"/>
  <c r="R19" i="9"/>
  <c r="R10" i="9"/>
  <c r="R6" i="9"/>
  <c r="R2" i="9"/>
  <c r="R115" i="9"/>
  <c r="R83" i="9"/>
  <c r="R11" i="9"/>
  <c r="R92" i="9"/>
  <c r="R81" i="9"/>
  <c r="R107" i="9"/>
  <c r="R75" i="9"/>
  <c r="R60" i="9"/>
  <c r="R52" i="9"/>
  <c r="R44" i="9"/>
  <c r="R36" i="9"/>
  <c r="R28" i="9"/>
  <c r="R20" i="9"/>
  <c r="R17" i="9"/>
  <c r="R16" i="9"/>
  <c r="R116" i="9"/>
  <c r="R84" i="9"/>
  <c r="R55" i="9"/>
  <c r="R47" i="9"/>
  <c r="R39" i="9"/>
  <c r="R31" i="9"/>
  <c r="R23" i="9"/>
  <c r="R99" i="9"/>
  <c r="R91" i="9"/>
  <c r="R32" i="9"/>
  <c r="R15" i="9"/>
  <c r="R67" i="9"/>
  <c r="R40" i="9"/>
  <c r="R9" i="9"/>
  <c r="R5" i="9"/>
  <c r="R48" i="9"/>
  <c r="R8" i="9"/>
  <c r="R56" i="9"/>
  <c r="R24" i="9"/>
  <c r="R54" i="9"/>
  <c r="R14" i="9"/>
  <c r="R57" i="9"/>
  <c r="R98" i="9"/>
  <c r="R69" i="9"/>
  <c r="R33" i="9"/>
  <c r="R73" i="9"/>
  <c r="R49" i="9"/>
  <c r="R13" i="9"/>
  <c r="R74" i="9"/>
  <c r="R117" i="9"/>
  <c r="R21" i="9"/>
  <c r="R53" i="9"/>
  <c r="R79" i="9"/>
  <c r="R38" i="9"/>
  <c r="R30" i="9"/>
  <c r="R94" i="9"/>
  <c r="R109" i="9"/>
  <c r="R82" i="9"/>
  <c r="R25" i="9"/>
  <c r="R46" i="9"/>
  <c r="R71" i="9"/>
  <c r="R85" i="9"/>
  <c r="R29" i="9"/>
  <c r="R61" i="9"/>
  <c r="R90" i="9"/>
  <c r="R22" i="9"/>
  <c r="R103" i="9"/>
  <c r="R86" i="9"/>
  <c r="R12" i="9"/>
  <c r="R66" i="9"/>
  <c r="R3" i="9"/>
  <c r="R102" i="9"/>
  <c r="R110" i="9"/>
  <c r="R93" i="9"/>
  <c r="R97" i="9"/>
  <c r="R111" i="9"/>
  <c r="R62" i="9"/>
  <c r="R37" i="9"/>
  <c r="R118" i="9"/>
  <c r="R41" i="9"/>
  <c r="R105" i="9"/>
  <c r="R77" i="9"/>
  <c r="R70" i="9"/>
  <c r="R106" i="9"/>
  <c r="R78" i="9"/>
  <c r="R114" i="9"/>
  <c r="R7" i="9"/>
  <c r="R65" i="9"/>
  <c r="R101" i="9"/>
  <c r="R113" i="9"/>
  <c r="R4" i="9"/>
  <c r="R45" i="9"/>
  <c r="J6" i="11"/>
  <c r="C15" i="15"/>
  <c r="B18" i="7"/>
  <c r="P114" i="9"/>
  <c r="P106" i="9"/>
  <c r="P98" i="9"/>
  <c r="P90" i="9"/>
  <c r="P82" i="9"/>
  <c r="P74" i="9"/>
  <c r="P66" i="9"/>
  <c r="P60" i="9"/>
  <c r="P56" i="9"/>
  <c r="P52" i="9"/>
  <c r="P48" i="9"/>
  <c r="P44" i="9"/>
  <c r="P40" i="9"/>
  <c r="P36" i="9"/>
  <c r="P32" i="9"/>
  <c r="P28" i="9"/>
  <c r="P24" i="9"/>
  <c r="P20" i="9"/>
  <c r="P115" i="9"/>
  <c r="P107" i="9"/>
  <c r="P99" i="9"/>
  <c r="P91" i="9"/>
  <c r="P83" i="9"/>
  <c r="P75" i="9"/>
  <c r="P67" i="9"/>
  <c r="P116" i="9"/>
  <c r="P103" i="9"/>
  <c r="P84" i="9"/>
  <c r="P71" i="9"/>
  <c r="P55" i="9"/>
  <c r="P47" i="9"/>
  <c r="P39" i="9"/>
  <c r="P31" i="9"/>
  <c r="P23" i="9"/>
  <c r="P15" i="9"/>
  <c r="P108" i="9"/>
  <c r="P95" i="9"/>
  <c r="P76" i="9"/>
  <c r="P63" i="9"/>
  <c r="P61" i="9"/>
  <c r="P53" i="9"/>
  <c r="P45" i="9"/>
  <c r="P37" i="9"/>
  <c r="P29" i="9"/>
  <c r="P21" i="9"/>
  <c r="P13" i="9"/>
  <c r="P5" i="9"/>
  <c r="P102" i="9"/>
  <c r="P70" i="9"/>
  <c r="P10" i="9"/>
  <c r="P9" i="9"/>
  <c r="P119" i="9"/>
  <c r="P100" i="9"/>
  <c r="P87" i="9"/>
  <c r="P68" i="9"/>
  <c r="P94" i="9"/>
  <c r="P62" i="9"/>
  <c r="P54" i="9"/>
  <c r="P46" i="9"/>
  <c r="P38" i="9"/>
  <c r="P30" i="9"/>
  <c r="P22" i="9"/>
  <c r="P111" i="9"/>
  <c r="P92" i="9"/>
  <c r="P79" i="9"/>
  <c r="P118" i="9"/>
  <c r="P86" i="9"/>
  <c r="P112" i="9"/>
  <c r="P50" i="9"/>
  <c r="P18" i="9"/>
  <c r="P80" i="9"/>
  <c r="P4" i="9"/>
  <c r="P58" i="9"/>
  <c r="P26" i="9"/>
  <c r="P34" i="9"/>
  <c r="P110" i="9"/>
  <c r="P78" i="9"/>
  <c r="P42" i="9"/>
  <c r="P16" i="9"/>
  <c r="P8" i="9"/>
  <c r="P11" i="9"/>
  <c r="P59" i="9"/>
  <c r="P120" i="9"/>
  <c r="P12" i="9"/>
  <c r="P109" i="9"/>
  <c r="P57" i="9"/>
  <c r="P81" i="9"/>
  <c r="P121" i="9"/>
  <c r="P117" i="9"/>
  <c r="P14" i="9"/>
  <c r="P17" i="9"/>
  <c r="P73" i="9"/>
  <c r="P89" i="9"/>
  <c r="P97" i="9"/>
  <c r="P51" i="9"/>
  <c r="P41" i="9"/>
  <c r="P27" i="9"/>
  <c r="P33" i="9"/>
  <c r="P6" i="9"/>
  <c r="P96" i="9"/>
  <c r="P104" i="9"/>
  <c r="P69" i="9"/>
  <c r="P101" i="9"/>
  <c r="P49" i="9"/>
  <c r="P2" i="9"/>
  <c r="P65" i="9"/>
  <c r="P77" i="9"/>
  <c r="P25" i="9"/>
  <c r="P43" i="9"/>
  <c r="P88" i="9"/>
  <c r="P113" i="9"/>
  <c r="P72" i="9"/>
  <c r="P85" i="9"/>
  <c r="P19" i="9"/>
  <c r="P35" i="9"/>
  <c r="P105" i="9"/>
  <c r="P93" i="9"/>
  <c r="P3" i="9"/>
  <c r="P7" i="9"/>
  <c r="P64" i="9"/>
  <c r="I6" i="9"/>
  <c r="D17" i="8"/>
  <c r="E16" i="9"/>
  <c r="I5" i="9"/>
  <c r="D8" i="12"/>
  <c r="I36" i="8" s="1"/>
  <c r="B8" i="12"/>
  <c r="A9" i="12" s="1"/>
  <c r="O119" i="9" l="1"/>
  <c r="O111" i="9"/>
  <c r="O103" i="9"/>
  <c r="O95" i="9"/>
  <c r="O87" i="9"/>
  <c r="O79" i="9"/>
  <c r="O71" i="9"/>
  <c r="B10" i="9"/>
  <c r="C10" i="9" s="1"/>
  <c r="O110" i="9"/>
  <c r="O78" i="9"/>
  <c r="O58" i="9"/>
  <c r="O50" i="9"/>
  <c r="O42" i="9"/>
  <c r="O34" i="9"/>
  <c r="O26" i="9"/>
  <c r="O18" i="9"/>
  <c r="O8" i="9"/>
  <c r="O4" i="9"/>
  <c r="O117" i="9"/>
  <c r="O106" i="9"/>
  <c r="O91" i="9"/>
  <c r="O85" i="9"/>
  <c r="O74" i="9"/>
  <c r="O56" i="9"/>
  <c r="O48" i="9"/>
  <c r="O40" i="9"/>
  <c r="O32" i="9"/>
  <c r="O24" i="9"/>
  <c r="O13" i="9"/>
  <c r="O102" i="9"/>
  <c r="O70" i="9"/>
  <c r="O10" i="9"/>
  <c r="O9" i="9"/>
  <c r="O6" i="9"/>
  <c r="O115" i="9"/>
  <c r="O109" i="9"/>
  <c r="O98" i="9"/>
  <c r="O83" i="9"/>
  <c r="O77" i="9"/>
  <c r="O66" i="9"/>
  <c r="O107" i="9"/>
  <c r="O101" i="9"/>
  <c r="O90" i="9"/>
  <c r="O65" i="9"/>
  <c r="O47" i="9"/>
  <c r="O44" i="9"/>
  <c r="O97" i="9"/>
  <c r="O15" i="9"/>
  <c r="O114" i="9"/>
  <c r="O67" i="9"/>
  <c r="O55" i="9"/>
  <c r="O52" i="9"/>
  <c r="O23" i="9"/>
  <c r="O20" i="9"/>
  <c r="O93" i="9"/>
  <c r="O82" i="9"/>
  <c r="O3" i="9"/>
  <c r="O99" i="9"/>
  <c r="O69" i="9"/>
  <c r="O60" i="9"/>
  <c r="O31" i="9"/>
  <c r="O28" i="9"/>
  <c r="O75" i="9"/>
  <c r="O39" i="9"/>
  <c r="O36" i="9"/>
  <c r="O22" i="9"/>
  <c r="O38" i="9"/>
  <c r="O16" i="9"/>
  <c r="O72" i="9"/>
  <c r="O113" i="9"/>
  <c r="O63" i="9"/>
  <c r="O80" i="9"/>
  <c r="O14" i="9"/>
  <c r="O76" i="9"/>
  <c r="O11" i="9"/>
  <c r="O59" i="9"/>
  <c r="O81" i="9"/>
  <c r="O89" i="9"/>
  <c r="O25" i="9"/>
  <c r="O84" i="9"/>
  <c r="O62" i="9"/>
  <c r="O21" i="9"/>
  <c r="O33" i="9"/>
  <c r="O92" i="9"/>
  <c r="O86" i="9"/>
  <c r="O73" i="9"/>
  <c r="O29" i="9"/>
  <c r="O41" i="9"/>
  <c r="O100" i="9"/>
  <c r="O68" i="9"/>
  <c r="O51" i="9"/>
  <c r="O94" i="9"/>
  <c r="O27" i="9"/>
  <c r="O88" i="9"/>
  <c r="O96" i="9"/>
  <c r="O37" i="9"/>
  <c r="O49" i="9"/>
  <c r="O108" i="9"/>
  <c r="O54" i="9"/>
  <c r="O17" i="9"/>
  <c r="O30" i="9"/>
  <c r="O45" i="9"/>
  <c r="O57" i="9"/>
  <c r="O116" i="9"/>
  <c r="O5" i="9"/>
  <c r="O43" i="9"/>
  <c r="O64" i="9"/>
  <c r="O2" i="9"/>
  <c r="O104" i="9"/>
  <c r="O53" i="9"/>
  <c r="O112" i="9"/>
  <c r="O19" i="9"/>
  <c r="O46" i="9"/>
  <c r="O118" i="9"/>
  <c r="O35" i="9"/>
  <c r="O7" i="9"/>
  <c r="O105" i="9"/>
  <c r="O120" i="9"/>
  <c r="O61" i="9"/>
  <c r="O121" i="9"/>
  <c r="O12" i="9"/>
  <c r="L5" i="9"/>
  <c r="Q15" i="9"/>
  <c r="Q11" i="9"/>
  <c r="Q10" i="9"/>
  <c r="Q112" i="9"/>
  <c r="Q80" i="9"/>
  <c r="Q8" i="9"/>
  <c r="Q4" i="9"/>
  <c r="Q106" i="9"/>
  <c r="Q104" i="9"/>
  <c r="Q91" i="9"/>
  <c r="Q74" i="9"/>
  <c r="Q72" i="9"/>
  <c r="Q56" i="9"/>
  <c r="Q48" i="9"/>
  <c r="Q40" i="9"/>
  <c r="Q32" i="9"/>
  <c r="Q24" i="9"/>
  <c r="Q9" i="9"/>
  <c r="Q100" i="9"/>
  <c r="Q68" i="9"/>
  <c r="Q59" i="9"/>
  <c r="Q51" i="9"/>
  <c r="Q43" i="9"/>
  <c r="Q35" i="9"/>
  <c r="Q27" i="9"/>
  <c r="Q19" i="9"/>
  <c r="Q2" i="9"/>
  <c r="Q96" i="9"/>
  <c r="Q83" i="9"/>
  <c r="Q66" i="9"/>
  <c r="Q64" i="9"/>
  <c r="Q92" i="9"/>
  <c r="Q7" i="9"/>
  <c r="Q120" i="9"/>
  <c r="Q88" i="9"/>
  <c r="Q16" i="9"/>
  <c r="Q116" i="9"/>
  <c r="Q84" i="9"/>
  <c r="Q71" i="9"/>
  <c r="Q53" i="9"/>
  <c r="Q47" i="9"/>
  <c r="Q21" i="9"/>
  <c r="Q108" i="9"/>
  <c r="Q61" i="9"/>
  <c r="Q55" i="9"/>
  <c r="Q29" i="9"/>
  <c r="Q23" i="9"/>
  <c r="Q76" i="9"/>
  <c r="Q37" i="9"/>
  <c r="Q31" i="9"/>
  <c r="Q63" i="9"/>
  <c r="Q45" i="9"/>
  <c r="Q39" i="9"/>
  <c r="Q95" i="9"/>
  <c r="Q13" i="9"/>
  <c r="B11" i="9"/>
  <c r="C11" i="9" s="1"/>
  <c r="Q17" i="9"/>
  <c r="Q67" i="9"/>
  <c r="Q12" i="9"/>
  <c r="Q119" i="9"/>
  <c r="Q117" i="9"/>
  <c r="Q18" i="9"/>
  <c r="Q50" i="9"/>
  <c r="Q114" i="9"/>
  <c r="Q14" i="9"/>
  <c r="Q57" i="9"/>
  <c r="Q20" i="9"/>
  <c r="Q38" i="9"/>
  <c r="Q30" i="9"/>
  <c r="Q3" i="9"/>
  <c r="Q109" i="9"/>
  <c r="Q65" i="9"/>
  <c r="Q73" i="9"/>
  <c r="Q33" i="9"/>
  <c r="Q60" i="9"/>
  <c r="Q46" i="9"/>
  <c r="Q49" i="9"/>
  <c r="Q85" i="9"/>
  <c r="Q121" i="9"/>
  <c r="Q26" i="9"/>
  <c r="Q58" i="9"/>
  <c r="Q82" i="9"/>
  <c r="Q22" i="9"/>
  <c r="Q99" i="9"/>
  <c r="Q79" i="9"/>
  <c r="Q94" i="9"/>
  <c r="Q113" i="9"/>
  <c r="Q93" i="9"/>
  <c r="Q25" i="9"/>
  <c r="Q44" i="9"/>
  <c r="Q36" i="9"/>
  <c r="Q89" i="9"/>
  <c r="Q34" i="9"/>
  <c r="Q103" i="9"/>
  <c r="Q52" i="9"/>
  <c r="Q86" i="9"/>
  <c r="Q87" i="9"/>
  <c r="Q77" i="9"/>
  <c r="Q102" i="9"/>
  <c r="Q98" i="9"/>
  <c r="Q110" i="9"/>
  <c r="Q97" i="9"/>
  <c r="Q101" i="9"/>
  <c r="Q75" i="9"/>
  <c r="Q28" i="9"/>
  <c r="Q107" i="9"/>
  <c r="Q90" i="9"/>
  <c r="Q62" i="9"/>
  <c r="Q42" i="9"/>
  <c r="Q54" i="9"/>
  <c r="Q6" i="9"/>
  <c r="Q118" i="9"/>
  <c r="Q41" i="9"/>
  <c r="Q115" i="9"/>
  <c r="Q81" i="9"/>
  <c r="Q70" i="9"/>
  <c r="Q111" i="9"/>
  <c r="Q5" i="9"/>
  <c r="Q78" i="9"/>
  <c r="Q69" i="9"/>
  <c r="Q105" i="9"/>
  <c r="C9" i="15"/>
  <c r="D18" i="7"/>
  <c r="D9" i="12"/>
  <c r="I37" i="8" s="1"/>
  <c r="B9" i="12"/>
  <c r="A10" i="12" s="1"/>
  <c r="C9" i="12"/>
  <c r="H37" i="8" s="1"/>
  <c r="C8" i="12"/>
  <c r="H36" i="8" s="1"/>
  <c r="L6" i="9"/>
  <c r="B10" i="12" l="1"/>
  <c r="A11" i="12" s="1"/>
  <c r="K6" i="9"/>
  <c r="K5" i="9"/>
  <c r="B11" i="12" l="1"/>
  <c r="A12" i="12" s="1"/>
  <c r="C10" i="12"/>
  <c r="H38" i="8" s="1"/>
  <c r="D10" i="12"/>
  <c r="I38" i="8" s="1"/>
  <c r="C11" i="12" l="1"/>
  <c r="H39" i="8" s="1"/>
  <c r="B12" i="12"/>
  <c r="C12" i="12" s="1"/>
  <c r="H40" i="8" s="1"/>
  <c r="D12" i="12"/>
  <c r="I40" i="8" s="1"/>
  <c r="D11" i="12"/>
  <c r="I39" i="8" s="1"/>
</calcChain>
</file>

<file path=xl/sharedStrings.xml><?xml version="1.0" encoding="utf-8"?>
<sst xmlns="http://schemas.openxmlformats.org/spreadsheetml/2006/main" count="2364" uniqueCount="1017">
  <si>
    <t>ITI Statistics — Case Study 02: "The Placement Report"</t>
  </si>
  <si>
    <t>This pack contains THREE datasets. Each one is clean — the mess was Day 1's lesson.</t>
  </si>
  <si>
    <t>Day 2 is about a different difficulty: the data is fine, and you still have to decide</t>
  </si>
  <si>
    <t>which distribution describes it and which comparison is legitimate.</t>
  </si>
  <si>
    <t>Sheets</t>
  </si>
  <si>
    <t>graduates    — 300 graduates. Scores, salaries, interviews, offers, days to first offer.</t>
  </si>
  <si>
    <t>helpdesk     — 180 days of support tickets logged at the training labs.</t>
  </si>
  <si>
    <t>lab_task     — 120 timed task completions at two branches.</t>
  </si>
  <si>
    <t>data_dictionary — column meanings and units.</t>
  </si>
  <si>
    <t>The one rule</t>
  </si>
  <si>
    <t>Every time you use a formula that assumes a distribution — normal, binomial, Poisson —</t>
  </si>
  <si>
    <t>you must first state WHY that assumption is reasonable for that specific column.</t>
  </si>
  <si>
    <t>Corrected version: all Part A–D and Part B/C calculation formulas use workbook-local references and legacy-compatible Excel functions; no FILTER/modern dynamic-array formulas or broken [1] external references remain in the core calculations.</t>
  </si>
  <si>
    <t>grad_id</t>
  </si>
  <si>
    <t>track</t>
  </si>
  <si>
    <t>assessment_score</t>
  </si>
  <si>
    <t>starting_salary_k</t>
  </si>
  <si>
    <t>interviews</t>
  </si>
  <si>
    <t>offers</t>
  </si>
  <si>
    <t>days_to_first_offer</t>
  </si>
  <si>
    <t>G-1001</t>
  </si>
  <si>
    <t>Data Science</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</si>
  <si>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</si>
  <si>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</si>
  <si>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</si>
  <si>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</si>
  <si>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</si>
  <si>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</si>
  <si>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</si>
  <si>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</si>
  <si>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</si>
  <si>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</si>
  <si>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</si>
  <si>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</si>
  <si>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</si>
  <si>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</si>
  <si>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</si>
  <si>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</si>
  <si>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</si>
  <si>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</si>
  <si>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</si>
  <si>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</si>
  <si>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</si>
  <si>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</si>
  <si>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</si>
  <si>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</si>
  <si>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</si>
  <si>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</si>
  <si>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</si>
  <si>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G-1029</t>
  </si>
  <si>
    <t>G-1030</t>
  </si>
  <si>
    <t>G-1031</t>
  </si>
  <si>
    <t>G-1032</t>
  </si>
  <si>
    <t>G-1033</t>
  </si>
  <si>
    <t>G-1034</t>
  </si>
  <si>
    <t>G-1035</t>
  </si>
  <si>
    <t>G-1036</t>
  </si>
  <si>
    <t>G-1037</t>
  </si>
  <si>
    <t>G-1038</t>
  </si>
  <si>
    <t>G-1039</t>
  </si>
  <si>
    <t>G-1040</t>
  </si>
  <si>
    <t>G-1041</t>
  </si>
  <si>
    <t>G-1042</t>
  </si>
  <si>
    <t>G-1043</t>
  </si>
  <si>
    <t>G-1044</t>
  </si>
  <si>
    <t>G-1045</t>
  </si>
  <si>
    <t>G-1046</t>
  </si>
  <si>
    <t>G-1047</t>
  </si>
  <si>
    <t>G-1048</t>
  </si>
  <si>
    <t>G-1049</t>
  </si>
  <si>
    <t>G-1050</t>
  </si>
  <si>
    <t>G-1051</t>
  </si>
  <si>
    <t>G-1052</t>
  </si>
  <si>
    <t>G-1053</t>
  </si>
  <si>
    <t>G-1054</t>
  </si>
  <si>
    <t>G-1055</t>
  </si>
  <si>
    <t>G-1056</t>
  </si>
  <si>
    <t>G-1057</t>
  </si>
  <si>
    <t>G-1058</t>
  </si>
  <si>
    <t>G-1059</t>
  </si>
  <si>
    <t>G-1060</t>
  </si>
  <si>
    <t>G-1061</t>
  </si>
  <si>
    <t>G-1062</t>
  </si>
  <si>
    <t>G-1063</t>
  </si>
  <si>
    <t>G-1064</t>
  </si>
  <si>
    <t>G-1065</t>
  </si>
  <si>
    <t>G-1066</t>
  </si>
  <si>
    <t>G-1067</t>
  </si>
  <si>
    <t>G-1068</t>
  </si>
  <si>
    <t>G-1069</t>
  </si>
  <si>
    <t>G-1070</t>
  </si>
  <si>
    <t>G-1071</t>
  </si>
  <si>
    <t>G-1072</t>
  </si>
  <si>
    <t>G-1073</t>
  </si>
  <si>
    <t>G-1074</t>
  </si>
  <si>
    <t>G-1075</t>
  </si>
  <si>
    <t>G-1076</t>
  </si>
  <si>
    <t>G-1077</t>
  </si>
  <si>
    <t>G-1078</t>
  </si>
  <si>
    <t>G-1079</t>
  </si>
  <si>
    <t>G-1080</t>
  </si>
  <si>
    <t>G-1081</t>
  </si>
  <si>
    <t>G-1082</t>
  </si>
  <si>
    <t>G-1083</t>
  </si>
  <si>
    <t>G-1084</t>
  </si>
  <si>
    <t>G-1085</t>
  </si>
  <si>
    <t>G-1086</t>
  </si>
  <si>
    <t>G-1087</t>
  </si>
  <si>
    <t>G-1088</t>
  </si>
  <si>
    <t>G-1089</t>
  </si>
  <si>
    <t>G-1090</t>
  </si>
  <si>
    <t>G-1091</t>
  </si>
  <si>
    <t>G-1092</t>
  </si>
  <si>
    <t>G-1093</t>
  </si>
  <si>
    <t>G-1094</t>
  </si>
  <si>
    <t>G-1095</t>
  </si>
  <si>
    <t>G-1096</t>
  </si>
  <si>
    <t>Web Development</t>
  </si>
  <si>
    <t>G-1097</t>
  </si>
  <si>
    <t>G-1098</t>
  </si>
  <si>
    <t>G-1099</t>
  </si>
  <si>
    <t>G-1100</t>
  </si>
  <si>
    <t>G-1101</t>
  </si>
  <si>
    <t>G-1102</t>
  </si>
  <si>
    <t>G-1103</t>
  </si>
  <si>
    <t>G-1104</t>
  </si>
  <si>
    <t>G-1105</t>
  </si>
  <si>
    <t>G-1106</t>
  </si>
  <si>
    <t>G-1107</t>
  </si>
  <si>
    <t>G-1108</t>
  </si>
  <si>
    <t>G-1109</t>
  </si>
  <si>
    <t>G-1110</t>
  </si>
  <si>
    <t>G-1111</t>
  </si>
  <si>
    <t>G-1112</t>
  </si>
  <si>
    <t>G-1113</t>
  </si>
  <si>
    <t>G-1114</t>
  </si>
  <si>
    <t>G-1115</t>
  </si>
  <si>
    <t>G-1116</t>
  </si>
  <si>
    <t>G-1117</t>
  </si>
  <si>
    <t>G-1118</t>
  </si>
  <si>
    <t>G-1119</t>
  </si>
  <si>
    <t>G-1120</t>
  </si>
  <si>
    <t>G-1121</t>
  </si>
  <si>
    <t>G-1122</t>
  </si>
  <si>
    <t>G-1123</t>
  </si>
  <si>
    <t>G-1124</t>
  </si>
  <si>
    <t>G-1125</t>
  </si>
  <si>
    <t>G-1126</t>
  </si>
  <si>
    <t>G-1127</t>
  </si>
  <si>
    <t>G-1128</t>
  </si>
  <si>
    <t>G-1129</t>
  </si>
  <si>
    <t>G-1130</t>
  </si>
  <si>
    <t>G-1131</t>
  </si>
  <si>
    <t>G-1132</t>
  </si>
  <si>
    <t>G-1133</t>
  </si>
  <si>
    <t>G-1134</t>
  </si>
  <si>
    <t>G-1135</t>
  </si>
  <si>
    <t>G-1136</t>
  </si>
  <si>
    <t>G-1137</t>
  </si>
  <si>
    <t>G-1138</t>
  </si>
  <si>
    <t>G-1139</t>
  </si>
  <si>
    <t>G-1140</t>
  </si>
  <si>
    <t>G-1141</t>
  </si>
  <si>
    <t>G-1142</t>
  </si>
  <si>
    <t>G-1143</t>
  </si>
  <si>
    <t>G-1144</t>
  </si>
  <si>
    <t>G-1145</t>
  </si>
  <si>
    <t>G-1146</t>
  </si>
  <si>
    <t>G-1147</t>
  </si>
  <si>
    <t>G-1148</t>
  </si>
  <si>
    <t>G-1149</t>
  </si>
  <si>
    <t>G-1150</t>
  </si>
  <si>
    <t>G-1151</t>
  </si>
  <si>
    <t>G-1152</t>
  </si>
  <si>
    <t>G-1153</t>
  </si>
  <si>
    <t>G-1154</t>
  </si>
  <si>
    <t>G-1155</t>
  </si>
  <si>
    <t>G-1156</t>
  </si>
  <si>
    <t>G-1157</t>
  </si>
  <si>
    <t>G-1158</t>
  </si>
  <si>
    <t>G-1159</t>
  </si>
  <si>
    <t>G-1160</t>
  </si>
  <si>
    <t>G-1161</t>
  </si>
  <si>
    <t>G-1162</t>
  </si>
  <si>
    <t>G-1163</t>
  </si>
  <si>
    <t>G-1164</t>
  </si>
  <si>
    <t>G-1165</t>
  </si>
  <si>
    <t>G-1166</t>
  </si>
  <si>
    <t>G-1167</t>
  </si>
  <si>
    <t>G-1168</t>
  </si>
  <si>
    <t>G-1169</t>
  </si>
  <si>
    <t>G-1170</t>
  </si>
  <si>
    <t>G-1171</t>
  </si>
  <si>
    <t>G-1172</t>
  </si>
  <si>
    <t>G-1173</t>
  </si>
  <si>
    <t>G-1174</t>
  </si>
  <si>
    <t>G-1175</t>
  </si>
  <si>
    <t>G-1176</t>
  </si>
  <si>
    <t>G-1177</t>
  </si>
  <si>
    <t>G-1178</t>
  </si>
  <si>
    <t>G-1179</t>
  </si>
  <si>
    <t>G-1180</t>
  </si>
  <si>
    <t>G-1181</t>
  </si>
  <si>
    <t>G-1182</t>
  </si>
  <si>
    <t>G-1183</t>
  </si>
  <si>
    <t>G-1184</t>
  </si>
  <si>
    <t>Cyber Security</t>
  </si>
  <si>
    <t>G-1185</t>
  </si>
  <si>
    <t>G-1186</t>
  </si>
  <si>
    <t>G-1187</t>
  </si>
  <si>
    <t>G-1188</t>
  </si>
  <si>
    <t>G-1189</t>
  </si>
  <si>
    <t>G-1190</t>
  </si>
  <si>
    <t>G-1191</t>
  </si>
  <si>
    <t>G-1192</t>
  </si>
  <si>
    <t>G-1193</t>
  </si>
  <si>
    <t>G-1194</t>
  </si>
  <si>
    <t>G-1195</t>
  </si>
  <si>
    <t>G-1196</t>
  </si>
  <si>
    <t>G-1197</t>
  </si>
  <si>
    <t>G-1198</t>
  </si>
  <si>
    <t>G-1199</t>
  </si>
  <si>
    <t>G-1200</t>
  </si>
  <si>
    <t>G-1201</t>
  </si>
  <si>
    <t>G-1202</t>
  </si>
  <si>
    <t>G-1203</t>
  </si>
  <si>
    <t>G-1204</t>
  </si>
  <si>
    <t>G-1205</t>
  </si>
  <si>
    <t>G-1206</t>
  </si>
  <si>
    <t>G-1207</t>
  </si>
  <si>
    <t>G-1208</t>
  </si>
  <si>
    <t>G-1209</t>
  </si>
  <si>
    <t>G-1210</t>
  </si>
  <si>
    <t>G-1211</t>
  </si>
  <si>
    <t>G-1212</t>
  </si>
  <si>
    <t>G-1213</t>
  </si>
  <si>
    <t>G-1214</t>
  </si>
  <si>
    <t>G-1215</t>
  </si>
  <si>
    <t>G-1216</t>
  </si>
  <si>
    <t>G-1217</t>
  </si>
  <si>
    <t>G-1218</t>
  </si>
  <si>
    <t>G-1219</t>
  </si>
  <si>
    <t>G-1220</t>
  </si>
  <si>
    <t>G-1221</t>
  </si>
  <si>
    <t>G-1222</t>
  </si>
  <si>
    <t>G-1223</t>
  </si>
  <si>
    <t>G-1224</t>
  </si>
  <si>
    <t>G-1225</t>
  </si>
  <si>
    <t>G-1226</t>
  </si>
  <si>
    <t>G-1227</t>
  </si>
  <si>
    <t>G-1228</t>
  </si>
  <si>
    <t>G-1229</t>
  </si>
  <si>
    <t>G-1230</t>
  </si>
  <si>
    <t>G-1231</t>
  </si>
  <si>
    <t>G-1232</t>
  </si>
  <si>
    <t>G-1233</t>
  </si>
  <si>
    <t>G-1234</t>
  </si>
  <si>
    <t>G-1235</t>
  </si>
  <si>
    <t>G-1236</t>
  </si>
  <si>
    <t>G-1237</t>
  </si>
  <si>
    <t>G-1238</t>
  </si>
  <si>
    <t>G-1239</t>
  </si>
  <si>
    <t>G-1240</t>
  </si>
  <si>
    <t>G-1241</t>
  </si>
  <si>
    <t>G-1242</t>
  </si>
  <si>
    <t>G-1243</t>
  </si>
  <si>
    <t>G-1244</t>
  </si>
  <si>
    <t>G-1245</t>
  </si>
  <si>
    <t>G-1246</t>
  </si>
  <si>
    <t>UI/UX</t>
  </si>
  <si>
    <t>G-1247</t>
  </si>
  <si>
    <t>G-1248</t>
  </si>
  <si>
    <t>G-1249</t>
  </si>
  <si>
    <t>G-1250</t>
  </si>
  <si>
    <t>G-1251</t>
  </si>
  <si>
    <t>G-1252</t>
  </si>
  <si>
    <t>G-1253</t>
  </si>
  <si>
    <t>G-1254</t>
  </si>
  <si>
    <t>G-1255</t>
  </si>
  <si>
    <t>G-1256</t>
  </si>
  <si>
    <t>G-1257</t>
  </si>
  <si>
    <t>G-1258</t>
  </si>
  <si>
    <t>G-1259</t>
  </si>
  <si>
    <t>G-1260</t>
  </si>
  <si>
    <t>G-1261</t>
  </si>
  <si>
    <t>G-1262</t>
  </si>
  <si>
    <t>G-1263</t>
  </si>
  <si>
    <t>G-1264</t>
  </si>
  <si>
    <t>G-1265</t>
  </si>
  <si>
    <t>G-1266</t>
  </si>
  <si>
    <t>G-1267</t>
  </si>
  <si>
    <t>G-1268</t>
  </si>
  <si>
    <t>G-1269</t>
  </si>
  <si>
    <t>G-1270</t>
  </si>
  <si>
    <t>G-1271</t>
  </si>
  <si>
    <t>G-1272</t>
  </si>
  <si>
    <t>G-1273</t>
  </si>
  <si>
    <t>G-1274</t>
  </si>
  <si>
    <t>G-1275</t>
  </si>
  <si>
    <t>G-1276</t>
  </si>
  <si>
    <t>G-1277</t>
  </si>
  <si>
    <t>G-1278</t>
  </si>
  <si>
    <t>G-1279</t>
  </si>
  <si>
    <t>G-1280</t>
  </si>
  <si>
    <t>G-1281</t>
  </si>
  <si>
    <t>G-1282</t>
  </si>
  <si>
    <t>G-1283</t>
  </si>
  <si>
    <t>G-1284</t>
  </si>
  <si>
    <t>G-1285</t>
  </si>
  <si>
    <t>G-1286</t>
  </si>
  <si>
    <t>G-1287</t>
  </si>
  <si>
    <t>G-1288</t>
  </si>
  <si>
    <t>G-1289</t>
  </si>
  <si>
    <t>G-1290</t>
  </si>
  <si>
    <t>G-1291</t>
  </si>
  <si>
    <t>G-1292</t>
  </si>
  <si>
    <t>G-1293</t>
  </si>
  <si>
    <t>G-1294</t>
  </si>
  <si>
    <t>G-1295</t>
  </si>
  <si>
    <t>G-1296</t>
  </si>
  <si>
    <t>G-1297</t>
  </si>
  <si>
    <t>G-1298</t>
  </si>
  <si>
    <t>G-1299</t>
  </si>
  <si>
    <t>G-1300</t>
  </si>
  <si>
    <t>date</t>
  </si>
  <si>
    <t>lab</t>
  </si>
  <si>
    <t>tickets_logged</t>
  </si>
  <si>
    <t>2025-09-01</t>
  </si>
  <si>
    <t>Lab C</t>
  </si>
  <si>
    <t>2025-09-02</t>
  </si>
  <si>
    <t>2025-09-03</t>
  </si>
  <si>
    <t>Lab A</t>
  </si>
  <si>
    <t>2025-09-04</t>
  </si>
  <si>
    <t>2025-09-05</t>
  </si>
  <si>
    <t>2025-09-06</t>
  </si>
  <si>
    <t>2025-09-07</t>
  </si>
  <si>
    <t>2025-09-08</t>
  </si>
  <si>
    <t>2025-09-09</t>
  </si>
  <si>
    <t>2025-09-10</t>
  </si>
  <si>
    <t>Lab B</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</si>
  <si>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</si>
  <si>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</si>
  <si>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</si>
  <si>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</si>
  <si>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</si>
  <si>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</si>
  <si>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</si>
  <si>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</si>
  <si>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</si>
  <si>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</si>
  <si>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</si>
  <si>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</si>
  <si>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</si>
  <si>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</si>
  <si>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</si>
  <si>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</si>
  <si>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</si>
  <si>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</si>
  <si>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</si>
  <si>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</si>
  <si>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</si>
  <si>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</si>
  <si>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</si>
  <si>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</si>
  <si>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</si>
  <si>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</si>
  <si>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</si>
  <si>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</si>
  <si>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</si>
  <si>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</si>
  <si>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</si>
  <si>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</si>
  <si>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</si>
  <si>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</si>
  <si>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</si>
  <si>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</si>
  <si>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</si>
  <si>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</si>
  <si>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</si>
  <si>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</si>
  <si>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</si>
  <si>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</si>
  <si>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</si>
  <si>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</si>
  <si>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</si>
  <si>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</si>
  <si>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</si>
  <si>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</si>
  <si>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</si>
  <si>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</si>
  <si>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</si>
  <si>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</si>
  <si>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</si>
  <si>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</si>
  <si>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</si>
  <si>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</si>
  <si>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</si>
  <si>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</si>
  <si>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</si>
  <si>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</si>
  <si>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</si>
  <si>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</si>
  <si>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</si>
  <si>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</si>
  <si>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</si>
  <si>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</si>
  <si>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</si>
  <si>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</si>
  <si>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</si>
  <si>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</si>
  <si>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</si>
  <si>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</si>
  <si>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</si>
  <si>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</si>
  <si>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</si>
  <si>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</si>
  <si>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</si>
  <si>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</si>
  <si>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</si>
  <si>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</si>
  <si>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</si>
  <si>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</si>
  <si>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</si>
  <si>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</si>
  <si>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</si>
  <si>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</si>
  <si>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</si>
  <si>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</si>
  <si>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</si>
  <si>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</si>
  <si>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</si>
  <si>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</si>
  <si>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</si>
  <si>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</si>
  <si>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</si>
  <si>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</si>
  <si>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</si>
  <si>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</si>
  <si>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</si>
  <si>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</si>
  <si>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</si>
  <si>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</si>
  <si>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</si>
  <si>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</si>
  <si>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</si>
  <si>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</si>
  <si>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</si>
  <si>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</si>
  <si>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</si>
  <si>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</si>
  <si>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</si>
  <si>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</si>
  <si>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</si>
  <si>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</si>
  <si>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</si>
  <si>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</si>
  <si>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</si>
  <si>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</si>
  <si>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</si>
  <si>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</si>
  <si>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</si>
  <si>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</si>
  <si>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</si>
  <si>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</si>
  <si>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</si>
  <si>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</si>
  <si>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</si>
  <si>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</si>
  <si>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</si>
  <si>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</si>
  <si>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</si>
  <si>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</si>
  <si>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</si>
  <si>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</si>
  <si>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</si>
  <si>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</si>
  <si>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</si>
  <si>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</si>
  <si>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</si>
  <si>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</si>
  <si>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</si>
  <si>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</si>
  <si>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</si>
  <si>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</si>
  <si>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</si>
  <si>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</si>
  <si>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</si>
  <si>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</si>
  <si>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</si>
  <si>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</si>
  <si>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</si>
  <si>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</si>
  <si>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</si>
  <si>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</si>
  <si>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</si>
  <si>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</si>
  <si>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</si>
  <si>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</si>
  <si>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</si>
  <si>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</si>
  <si>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</si>
  <si>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</si>
  <si>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</si>
  <si>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</si>
  <si>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</si>
  <si>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</si>
  <si>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</si>
  <si>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</si>
  <si>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</si>
  <si>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</si>
  <si>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student_ref</t>
  </si>
  <si>
    <t>branch</t>
  </si>
  <si>
    <t>task_minutes</t>
  </si>
  <si>
    <t>T-001</t>
  </si>
  <si>
    <t>Cairo</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</si>
  <si>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</si>
  <si>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</si>
  <si>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</si>
  <si>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</si>
  <si>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</si>
  <si>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</si>
  <si>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</si>
  <si>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</si>
  <si>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</si>
  <si>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</si>
  <si>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</si>
  <si>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</si>
  <si>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</si>
  <si>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</si>
  <si>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</si>
  <si>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</si>
  <si>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</si>
  <si>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</si>
  <si>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</si>
  <si>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</si>
  <si>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</si>
  <si>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</si>
  <si>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</si>
  <si>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</si>
  <si>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</si>
  <si>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</si>
  <si>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</si>
  <si>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</si>
  <si>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</si>
  <si>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</si>
  <si>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</si>
  <si>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</si>
  <si>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</si>
  <si>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</si>
  <si>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</si>
  <si>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</si>
  <si>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</si>
  <si>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</si>
  <si>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</si>
  <si>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</si>
  <si>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</si>
  <si>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</si>
  <si>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</si>
  <si>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</si>
  <si>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</si>
  <si>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</si>
  <si>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</si>
  <si>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</si>
  <si>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</si>
  <si>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</si>
  <si>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</si>
  <si>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</si>
  <si>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</si>
  <si>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</si>
  <si>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</si>
  <si>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</si>
  <si>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</si>
  <si>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</si>
  <si>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</si>
  <si>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</si>
  <si>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Alexandria</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</si>
  <si>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</si>
  <si>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</si>
  <si>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</si>
  <si>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</si>
  <si>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</si>
  <si>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</si>
  <si>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</si>
  <si>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</si>
  <si>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</si>
  <si>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</si>
  <si>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</si>
  <si>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</si>
  <si>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</si>
  <si>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</si>
  <si>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</si>
  <si>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</si>
  <si>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</si>
  <si>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</si>
  <si>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</si>
  <si>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</si>
  <si>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</si>
  <si>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</si>
  <si>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</si>
  <si>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</si>
  <si>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</si>
  <si>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</si>
  <si>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</si>
  <si>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</si>
  <si>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</si>
  <si>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</si>
  <si>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</si>
  <si>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</si>
  <si>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</si>
  <si>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</si>
  <si>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</si>
  <si>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</si>
  <si>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</si>
  <si>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</si>
  <si>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</si>
  <si>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</si>
  <si>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</si>
  <si>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</si>
  <si>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</si>
  <si>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</si>
  <si>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</si>
  <si>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</si>
  <si>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</si>
  <si>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</si>
  <si>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</si>
  <si>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</si>
  <si>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</si>
  <si>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</si>
  <si>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</si>
  <si>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</si>
  <si>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</si>
  <si>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</si>
  <si>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</si>
  <si>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</si>
  <si>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</si>
  <si>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Sheet</t>
  </si>
  <si>
    <t>Column</t>
  </si>
  <si>
    <t>Meaning</t>
  </si>
  <si>
    <t>Unit / range</t>
  </si>
  <si>
    <t>graduates</t>
  </si>
  <si>
    <t>Anonymous graduate code</t>
  </si>
  <si>
    <t>G-1001 …</t>
  </si>
  <si>
    <t>Training track</t>
  </si>
  <si>
    <t>4 tracks</t>
  </si>
  <si>
    <t>Final assessment result</t>
  </si>
  <si>
    <t>0–100</t>
  </si>
  <si>
    <t>First-job monthly salary</t>
  </si>
  <si>
    <t>thousands of L.E.</t>
  </si>
  <si>
    <t>Interviews attended</t>
  </si>
  <si>
    <t>count, 1–18</t>
  </si>
  <si>
    <t>Job offers received</t>
  </si>
  <si>
    <t>count, 0 to interviews</t>
  </si>
  <si>
    <t>Days from graduation to first offer</t>
  </si>
  <si>
    <t>days</t>
  </si>
  <si>
    <t>helpdesk</t>
  </si>
  <si>
    <t>Calendar date</t>
  </si>
  <si>
    <t>2025-09-01 onward, 180 days</t>
  </si>
  <si>
    <t>Which training lab logged it</t>
  </si>
  <si>
    <t>Lab A / B / C</t>
  </si>
  <si>
    <t>Support tickets opened that day</t>
  </si>
  <si>
    <t>count</t>
  </si>
  <si>
    <t>lab_task</t>
  </si>
  <si>
    <t>Anonymous participant code</t>
  </si>
  <si>
    <t>T-001 …</t>
  </si>
  <si>
    <t>Branch where the task was timed</t>
  </si>
  <si>
    <t>Cairo / Alexandria</t>
  </si>
  <si>
    <t>Time to complete a standard task</t>
  </si>
  <si>
    <t>minutes</t>
  </si>
  <si>
    <t>Part A — Is the Comparison Even Fair? (Dispersion &amp; CV)</t>
  </si>
  <si>
    <t>A1 — Assessment Score: Mean, Std, CV per track</t>
  </si>
  <si>
    <t>Track</t>
  </si>
  <si>
    <t>N</t>
  </si>
  <si>
    <t>Mean Score</t>
  </si>
  <si>
    <t>Std Dev (sample)</t>
  </si>
  <si>
    <t>CV % = (Std/Mean)*100</t>
  </si>
  <si>
    <t>Rank by Std (1=highest)</t>
  </si>
  <si>
    <t>Rank by CV (1=highest)</t>
  </si>
  <si>
    <t>Ratio: highest CV / lowest CV</t>
  </si>
  <si>
    <t>Answers — A1:
1) Ranking by Std and by CV AGREE here (see Rank columns) because score is the same unit (0-100) for all tracks, so CV adds little in this comparison.
2) UI/UX has ~3x the relative variability of Cyber Security (see ratio above). Meaning: Cyber Security students cluster tightly around the mean; UI/UX students range from much weaker to much stronger than their own mean.
3) The mean is NOT a good summary for UI/UX because its spread is by far the largest — the mean hides both very strong and very weak graduates inside the same track.</t>
  </si>
  <si>
    <t>A1 (continued) — Score vs Salary: why raw Std cannot compare them</t>
  </si>
  <si>
    <t>Variable</t>
  </si>
  <si>
    <t>Overall Mean</t>
  </si>
  <si>
    <t>Overall Std</t>
  </si>
  <si>
    <t>Overall CV %</t>
  </si>
  <si>
    <t>Assessment Score (0-100)</t>
  </si>
  <si>
    <t>Starting Salary (k L.E.)</t>
  </si>
  <si>
    <t>The two Std Dev values are in different units (score points vs. thousand L.E.) so they CANNOT be compared directly. Only CV% (unit-free) answers 'which is more variable': Salary's CV is far higher than Score's CV, so salary is the more variable measure — something raw standard deviation could never tell us.</t>
  </si>
  <si>
    <t>A2 — Starting Salary: Mean vs Median vs CV per track</t>
  </si>
  <si>
    <t>Mean Salary (k)</t>
  </si>
  <si>
    <t>Median Salary (k)</t>
  </si>
  <si>
    <t>Mean &gt; Median?</t>
  </si>
  <si>
    <t>Std Salary</t>
  </si>
  <si>
    <t>CV Salary %</t>
  </si>
  <si>
    <t>ALL 300 (overall)</t>
  </si>
  <si>
    <t>Answers — A2:
1-2) Mean &gt; Median in EVERY track (see 'Mean &gt; Median?' column = YES throughout). This is the signature of a right-skewed (positively skewed) distribution — a minority of high earners pulls the mean upward. The report should have quoted the MEDIAN, which is not distorted by that minority.
3) CV of salary is similar across all 4 tracks (roughly 34%-39%, see CV Salary % column) — much closer together than the CV differences we saw for scores. This means: UI/UX salaries are lower in LEVEL, but NOT more unequally distributed inside the track than any other track. 'Lower' and 'more unequal' are two different findings, and the original report conflated them.</t>
  </si>
  <si>
    <t>PART B — STANDARDIZATION &amp; Z-SCORES</t>
  </si>
  <si>
    <t>B1 — Ranking reversal</t>
  </si>
  <si>
    <t>Candidate</t>
  </si>
  <si>
    <t>Raw score</t>
  </si>
  <si>
    <t>Track mean</t>
  </si>
  <si>
    <t>Sample SD</t>
  </si>
  <si>
    <t>Z-score</t>
  </si>
  <si>
    <t>Relative standing</t>
  </si>
  <si>
    <t>Why it matters</t>
  </si>
  <si>
    <t>Candidate A</t>
  </si>
  <si>
    <t>Candidate B</t>
  </si>
  <si>
    <t>B2 — Days to first offer</t>
  </si>
  <si>
    <t>Metric</t>
  </si>
  <si>
    <t>Mean</t>
  </si>
  <si>
    <t>Observed</t>
  </si>
  <si>
    <t>Direction</t>
  </si>
  <si>
    <t>Interpretation</t>
  </si>
  <si>
    <t>Status</t>
  </si>
  <si>
    <t>B3 — Standardisation check</t>
  </si>
  <si>
    <t>Check</t>
  </si>
  <si>
    <t>Result</t>
  </si>
  <si>
    <t>Expected</t>
  </si>
  <si>
    <t>Mean of 300 Z-scores</t>
  </si>
  <si>
    <t>Centred at zero.</t>
  </si>
  <si>
    <t>Sample SD of 300 Z-scores</t>
  </si>
  <si>
    <t>Standardised spread.</t>
  </si>
  <si>
    <t>Population SD (reference)</t>
  </si>
  <si>
    <t>"REFERENCE"</t>
  </si>
  <si>
    <t>Additional consistency check.</t>
  </si>
  <si>
    <t>B — Final takeaway</t>
  </si>
  <si>
    <t>The mean is essentially 0 because each track is centered around its own mean. The SD is approximately 1 because each track is scaled by its own standard deviation; the slight difference from exactly 1 results from combining groups with different sample sizes.</t>
  </si>
  <si>
    <t>PART C — NORMALITY, EMPIRICAL RULE &amp; SKEWNESS</t>
  </si>
  <si>
    <t>C1 — Is a normal approximation reasonable?</t>
  </si>
  <si>
    <t>Dataset</t>
  </si>
  <si>
    <t>Median</t>
  </si>
  <si>
    <t>Mode</t>
  </si>
  <si>
    <t>Skewness</t>
  </si>
  <si>
    <t>Statistical Assessment</t>
  </si>
  <si>
    <t>Data Science assessment</t>
  </si>
  <si>
    <t>Overall starting salary</t>
  </si>
  <si>
    <t>C2 — 68–95–99.7 rule for Data Science</t>
  </si>
  <si>
    <t>Item</t>
  </si>
  <si>
    <t>Formula result</t>
  </si>
  <si>
    <t>Comparison</t>
  </si>
  <si>
    <t>Spread</t>
  </si>
  <si>
    <t>Formula-derived</t>
  </si>
  <si>
    <t>About 68%</t>
  </si>
  <si>
    <t>Mean ± 1 SD</t>
  </si>
  <si>
    <t>≈68% if normal</t>
  </si>
  <si>
    <t>About 95%</t>
  </si>
  <si>
    <t>Mean ± 2 SD</t>
  </si>
  <si>
    <t>≈95% if normal</t>
  </si>
  <si>
    <t>Estimated P(score &gt; mean + 2SD)</t>
  </si>
  <si>
    <t>Empirical-rule upper tail</t>
  </si>
  <si>
    <t>≈2.5%</t>
  </si>
  <si>
    <t>Threshold score (mean + 2SD)</t>
  </si>
  <si>
    <t>Formula-derived threshold</t>
  </si>
  <si>
    <t>Observed above threshold</t>
  </si>
  <si>
    <t>C3 — Salary skewness by track (Bowley)</t>
  </si>
  <si>
    <t>Q1</t>
  </si>
  <si>
    <t>Q3</t>
  </si>
  <si>
    <t>Bowley</t>
  </si>
  <si>
    <t>Shape</t>
  </si>
  <si>
    <t>Score interval</t>
  </si>
  <si>
    <t>Count</t>
  </si>
  <si>
    <t>C — Final conclusion</t>
  </si>
  <si>
    <t>For a positively skewed distribution, the theoretical ordering is Mean &gt; Median &gt; Mode. In this sample, mean (15.595) &gt; median (14.9), confirming right-skewness, but the observed mode (16.5) does not follow the textbook ordering; this is possible because the mode is sensitive to the most frequent observed value.</t>
  </si>
  <si>
    <t>UI/UX is nearly symmetric (Bowley skewness = 0.0097), while Cyber Security is right-skewed (0.2492). UI/UX therefore has a more balanced salary distribution. In Cyber Security, a smaller number of graduates earn substantially higher salaries, pulling the mean upward; the median may be more representative of a typical graduate's salary.</t>
  </si>
  <si>
    <t>Part D — Box Plots: Lab Task Time, Cairo vs Alexandria</t>
  </si>
  <si>
    <t>Cairo times</t>
  </si>
  <si>
    <t>Alexandria times</t>
  </si>
  <si>
    <t>Cairo &gt;= lower fence</t>
  </si>
  <si>
    <t>Cairo &lt;= upper fence</t>
  </si>
  <si>
    <t>Alexandria &gt;= lower fence</t>
  </si>
  <si>
    <t>Alexandria &lt;= upper fence</t>
  </si>
  <si>
    <t>D1 — Five-Number Summary &amp; Fences</t>
  </si>
  <si>
    <t>Branch</t>
  </si>
  <si>
    <t>Min</t>
  </si>
  <si>
    <t>Max</t>
  </si>
  <si>
    <t>IQR</t>
  </si>
  <si>
    <t>Lower Fence</t>
  </si>
  <si>
    <t>Upper Fence</t>
  </si>
  <si>
    <t>Whisker Low End</t>
  </si>
  <si>
    <t>Whisker High End</t>
  </si>
  <si>
    <t>Outliers (values outside the fences)</t>
  </si>
  <si>
    <t>Outlier Count</t>
  </si>
  <si>
    <t>Outlier Values</t>
  </si>
  <si>
    <t>Answers — D1:
1) Five-number summary for each branch is in the table above (Min / Q1 / Median / Q3 / Max).
2) Cairo has ZERO outliers (Outlier Count = 0). Alexandria has 3 outliers, all above its upper fence (listed above).
3) The whisker does NOT extend to the fence itself — it stops at the most extreme observation still inside the fence. See 'Whisker Low End' / 'Whisker High End' columns: for Alexandria the high whisker stops well short of its Max (44.7), because the 3 outliers were excluded from the whisker.
4) See the attached PNG chart (Part D box plot) for the shared-axis drawing with outliers marked in red.</t>
  </si>
  <si>
    <t>D2 — Reading the Plot</t>
  </si>
  <si>
    <t>Q3-Median</t>
  </si>
  <si>
    <t>Median-Q1</t>
  </si>
  <si>
    <t>Skew Direction</t>
  </si>
  <si>
    <t>Median difference (Alexandria - Cairo)</t>
  </si>
  <si>
    <t>Answers — D2:
1) Alexandria has the higher median (see difference above, ~1.45 minutes higher than Cairo).
2) Skew Direction column: Cairo is close to symmetric (Q3-Median ≈ Median-Q1). Alexandria is right-skewed (Q3-Median &gt; Median-Q1) — a minority of slow completions stretch the upper tail.
3) IQR: Cairo's IQR is much smaller than Alexandria's — Cairo is far more CONSISTENT. 'Slower on average' (median) and 'less consistent' (IQR) are two separate findings; the lab manager's claim ('Alexandria is slower') only captures the median part.
4) The 3 Alexandria outliers look like genuine slow completions, not data-entry errors (per the error-vs-outlier distinction from Case Study 01) — they should stay in the analysis unless there is a real-world reason (e.g. a documented interruption) to justify removing a specific one.
Decision-note: for a deadline-sensitive task, Cairo is the safer choice — lower median AND far less variability, so wait times are more predictable.</t>
  </si>
  <si>
    <t>PART B + PART C — Completed Statistical Analysis</t>
  </si>
  <si>
    <t>All standard deviations below use the sample SD (STDEV.S), consistent with Part A. Values are calculated directly from the supplied 300-graduate dataset.</t>
  </si>
  <si>
    <t>B1 — Standardized values and the ranking reversal</t>
  </si>
  <si>
    <t>Track SD</t>
  </si>
  <si>
    <t>Relative conclusion</t>
  </si>
  <si>
    <t>Formula / logic</t>
  </si>
  <si>
    <t>Stronger relative to peers</t>
  </si>
  <si>
    <t>Z = (82 − 75.1500) / 4.1123 = 1.6657</t>
  </si>
  <si>
    <t>Weaker relative to peers</t>
  </si>
  <si>
    <t>Z = (84 − 71.3509) / 11.2769 = 1.1217</t>
  </si>
  <si>
    <t>Answer to B1.2</t>
  </si>
  <si>
    <t>Candidate A is stronger relative to their own peers, despite the lower raw score, because 82 is 1.6657 SD above the Cyber Security mean while 84 is only 1.1217 SD above the UI/UX mean.</t>
  </si>
  <si>
    <t>Recruiter recommendation</t>
  </si>
  <si>
    <t>Recommend Candidate A if the assessment is the main comparable criterion. The decision should also consider role fit, relevant projects/portfolio, technical skills, interview performance, communication, experience, and track-specific job requirements.</t>
  </si>
  <si>
    <t>B2 — Direction matters</t>
  </si>
  <si>
    <t>Measure</t>
  </si>
  <si>
    <t>Observed value</t>
  </si>
  <si>
    <t>General rule</t>
  </si>
  <si>
    <t>Lower is better</t>
  </si>
  <si>
    <t>GOOD NEWS: 15 days is 1.1380 SD below the overall mean, so the graduate received an offer faster than average.</t>
  </si>
  <si>
    <t>A Z-score has no universal good/bad sign; judge the sign using whether higher or lower values are desirable.</t>
  </si>
  <si>
    <t>Contrast with assessment_score:</t>
  </si>
  <si>
    <t>For assessment score, higher is better, so a large negative Z would be unfavorable. For days_to_first_offer, lower is better, so a large negative Z is favorable.</t>
  </si>
  <si>
    <t>B3 — Standardizing assessment scores within track</t>
  </si>
  <si>
    <t>Expected / target</t>
  </si>
  <si>
    <t>Formula / explanation</t>
  </si>
  <si>
    <t>Mean of 300 Z-values</t>
  </si>
  <si>
    <t>≈ 0</t>
  </si>
  <si>
    <t>Zᵢ = (scoreᵢ − track mean) / track sample SD</t>
  </si>
  <si>
    <t>PASS</t>
  </si>
  <si>
    <t>Sample SD of 300 Z-values</t>
  </si>
  <si>
    <t>≈ 1</t>
  </si>
  <si>
    <t>STDEV.S(all 300 within-track Z-values)</t>
  </si>
  <si>
    <t>Population SD of 300 Z-values</t>
  </si>
  <si>
    <t>STDEV.P(all 300 within-track Z-values)</t>
  </si>
  <si>
    <t>Reference</t>
  </si>
  <si>
    <t>Why this happens</t>
  </si>
  <si>
    <t>Each track is centered at its own mean and scaled by its own SD, so the combined standardized values have mean essentially 0; using sample SDs within each track gives a combined sample SD of 0.994971, extremely close to 1.</t>
  </si>
  <si>
    <t>C1 — Check the normality assumption first</t>
  </si>
  <si>
    <t>Mode(s)</t>
  </si>
  <si>
    <t>Skewness (moment)</t>
  </si>
  <si>
    <t>Normality decision</t>
  </si>
  <si>
    <t>Numerical evidence</t>
  </si>
  <si>
    <t>Data Science assessment_score</t>
  </si>
  <si>
    <t>73.9, 77.3</t>
  </si>
  <si>
    <t>Reasonable for the empirical-rule exercise</t>
  </si>
  <si>
    <t>Mean ≈ median; skewness = 0.0767; histogram is broadly bell-shaped/symmetric.</t>
  </si>
  <si>
    <t>All starting_salary_k</t>
  </si>
  <si>
    <t>16.5</t>
  </si>
  <si>
    <t>Do NOT assume normal</t>
  </si>
  <si>
    <t>Skewness = 1.3854 (strong positive/right skew); mean &gt; median and the distribution has a long upper tail.</t>
  </si>
  <si>
    <t>C1.2</t>
  </si>
  <si>
    <t>For Data Science, mean = 77.6674, median = 77.4000, and modes = 73.9 and 77.3. They are close enough, together with skewness 0.0767, to support the normal approximation used in C2.</t>
  </si>
  <si>
    <t>C1.3</t>
  </si>
  <si>
    <t>No for starting salary: the numerical skewness is 1.3854, and mean = 15.595 while median = 14.900, indicating substantial right-skew. A normal model would be a poor assumption.</t>
  </si>
  <si>
    <t>C2 — Apply the 68–95–99.7 empirical rule</t>
  </si>
  <si>
    <t>Question</t>
  </si>
  <si>
    <t>Calculation</t>
  </si>
  <si>
    <t>Answer</t>
  </si>
  <si>
    <t>68% interval</t>
  </si>
  <si>
    <t>77.6674 ± 5.8159</t>
  </si>
  <si>
    <t>71.8515 to 83.4832</t>
  </si>
  <si>
    <t>Roughly 68% of Data Science scores.</t>
  </si>
  <si>
    <t>95% interval</t>
  </si>
  <si>
    <t>77.6674 ± 2(5.8159)</t>
  </si>
  <si>
    <t>66.0357 to 89.2991</t>
  </si>
  <si>
    <t>Roughly 95% of Data Science scores.</t>
  </si>
  <si>
    <t>P(score &gt; 89.3)</t>
  </si>
  <si>
    <t>89.3 ≈ mean + 2SD = 89.2991</t>
  </si>
  <si>
    <t>≈ 2.5% theoretical</t>
  </si>
  <si>
    <t>Upper tail beyond +2 SD under the normal empirical rule.</t>
  </si>
  <si>
    <t>Count(score &gt; 89.2991) / 95</t>
  </si>
  <si>
    <t>2/95 = 2.11%</t>
  </si>
  <si>
    <t>Observed proportion in the supplied Data Science sample.</t>
  </si>
  <si>
    <t>Why theory and data do not match exactly</t>
  </si>
  <si>
    <t>(1) The empirical rule is an approximation based on an assumed normal population, while the real sample is finite and not perfectly normal. (2) Sampling variability means the observed count will naturally differ from the theoretical 2.5%, even when the model is reasonable.</t>
  </si>
  <si>
    <t>C3 — Skewness measured rather than labelled</t>
  </si>
  <si>
    <t>Group</t>
  </si>
  <si>
    <t>Median (Q2)</t>
  </si>
  <si>
    <t>Bowley skewness</t>
  </si>
  <si>
    <t>Overall salary</t>
  </si>
  <si>
    <t>Very close to symmetric by Bowley’s quartile measure, but the moment skewness (1.3854) reveals a long upper tail.</t>
  </si>
  <si>
    <t>Positive/right-skewed</t>
  </si>
  <si>
    <t>Mild skew</t>
  </si>
  <si>
    <t>Very close to symmetric</t>
  </si>
  <si>
    <t>C3.1–C3.3 conclusion</t>
  </si>
  <si>
    <t>Sign: positive means the upper/right side is longer; negative means the lower/left side is longer. UI/UX is closest to symmetric (Bowley = 0.0097), while Cyber Security is the most clearly right-skewed by this quartile measure (0.2492). Overall salary has Bowley = 0.0244, but its moment skewness is 1.3854, showing that extreme upper salaries affect the tail.</t>
  </si>
  <si>
    <t>300 Graduate Assessment Z-Scores — Within Track</t>
  </si>
  <si>
    <t>Z-score formula</t>
  </si>
  <si>
    <t>Validation</t>
  </si>
  <si>
    <t>Mean of Z</t>
  </si>
  <si>
    <t>Sample SD of Z</t>
  </si>
  <si>
    <t>Population SD of Z</t>
  </si>
  <si>
    <t>C1–C3 Distribution Diagnostics &amp; Charts</t>
  </si>
  <si>
    <t>Data Science assessment_score — histogram counts</t>
  </si>
  <si>
    <t>Bin lower</t>
  </si>
  <si>
    <t>Bin upper</t>
  </si>
  <si>
    <t>Interval</t>
  </si>
  <si>
    <t>Starting salary — histogram counts</t>
  </si>
  <si>
    <t>5–&lt;10</t>
  </si>
  <si>
    <t>10–&lt;15</t>
  </si>
  <si>
    <t>15–&lt;20</t>
  </si>
  <si>
    <t>20–&lt;25</t>
  </si>
  <si>
    <t>25–&lt;30</t>
  </si>
  <si>
    <t>30–&lt;35</t>
  </si>
  <si>
    <t>35–&lt;40</t>
  </si>
  <si>
    <t>40–&lt;45</t>
  </si>
  <si>
    <t>45–&lt;50</t>
  </si>
  <si>
    <t>Numerical diagnostics</t>
  </si>
  <si>
    <t>All starting salary</t>
  </si>
  <si>
    <t>Center</t>
  </si>
  <si>
    <t>Center resistant to extremes</t>
  </si>
  <si>
    <t>Most frequent value(s)</t>
  </si>
  <si>
    <t>Moment skewness</t>
  </si>
  <si>
    <t>0 ≈ symmetric;                     positive = right-skew</t>
  </si>
  <si>
    <t>Quartile-based skewness</t>
  </si>
  <si>
    <t>Track salary skewness — Bowley coefficient</t>
  </si>
  <si>
    <t>Right-skewed</t>
  </si>
  <si>
    <t>Near symmetric</t>
  </si>
  <si>
    <t>Mean salary</t>
  </si>
  <si>
    <t>Median salary</t>
  </si>
  <si>
    <t>E1. Does the binomial even apply?</t>
  </si>
  <si>
    <t>Condition</t>
  </si>
  <si>
    <t>Does it hold here? Justify.</t>
  </si>
  <si>
    <t>A fixed number n of identical trials</t>
  </si>
  <si>
    <t>Not really across the whole sample. Each graduate does have a fixed n (their own interview count), but n is different for every graduate, so there's no single n for all 300 of them.</t>
  </si>
  <si>
    <t>Each trial has exactly two outcomes</t>
  </si>
  <si>
    <t>Yes, this one holds fine. Each interview either ends in an offer or no offer, nothing in between.</t>
  </si>
  <si>
    <t>The probability of success p is constant across trials</t>
  </si>
  <si>
    <t>No, this is the one that breaks. Graduates aren't equally skilled, so their real chance of getting an offer isn't the same person to person. Using one pooled p for everyone hides that difference.</t>
  </si>
  <si>
    <t>The trials are independent</t>
  </si>
  <si>
    <t>Mostly holds. Companies interview graduates separately, but there could be a small effect where getting rejected a few times in a row affects how someone performs in the next interview (or getting an early offer makes them try less in the rest). Weaker issue than #3 though.</t>
  </si>
  <si>
    <t>The condition that's most clearly violated is #3 (constant p). Graduates differ in skill and preparation, so each one really has a different chance of landing an offer — it's not the same probability for everyone. When we pool all offers and interviews together to get one average p, we're basically hiding that difference. This makes the binomial model underestimate how many graduates end up with zero offers, because the weaker graduates (whose real p is much lower than the average) get averaged out and disappear into the overall number.</t>
  </si>
  <si>
    <t>E2. Estimate p and use it</t>
  </si>
  <si>
    <t>P</t>
  </si>
  <si>
    <t>2 Offers From 6 Interviews</t>
  </si>
  <si>
    <t>No Offers</t>
  </si>
  <si>
    <t>At Least One Offer</t>
  </si>
  <si>
    <t>Variance</t>
  </si>
  <si>
    <t>E3. Shape, and a reality check</t>
  </si>
  <si>
    <t>Since p = 0.292 is below 0.5, the binomial distribution for n = 6 is right-skewed (positively skewed). Most of the probability is concentrated at the lower values of x (around 1-2 offers), with a smaller tail extending toward the higher values (5, 6 offers) that have very low probability.</t>
  </si>
  <si>
    <t>X</t>
  </si>
  <si>
    <t>NO. Zero Offer</t>
  </si>
  <si>
    <t>Percentage</t>
  </si>
  <si>
    <t>Prob_Zero_Offers</t>
  </si>
  <si>
    <t>Average Prob Zero Offers</t>
  </si>
  <si>
    <t>Observed proportion of graduates with zero offers: 66/300 = 0.22 (22%)
Model-predicted proportion (using each graduate's actual number of interviews with p hat = 0.292): 0.194 (19.4%)
The binomial model under-predicts — the actual zero-offer rate (22%) is noticeably higher than what the model predicts (19.4%).</t>
  </si>
  <si>
    <t>Some graduates are simply stronger candidates than others — better CVs, more interview experience, or a track with better market demand. These stronger candidates have a real chance of success well above the pooled average, while weaker candidates have a real chance well below it. Because the model uses one constant p for everyone, it can't capture this — it assumes every graduate is equally likely to succeed in each interview. In reality, the weaker candidates are the ones getting shut out entirely, which pushes the actual zero-offer rate higher than a constant-p model would ever predict.</t>
  </si>
  <si>
    <t>F1. Test the Poisson signature</t>
  </si>
  <si>
    <t>Value</t>
  </si>
  <si>
    <t>Mean of tickets_logged (180 days)</t>
  </si>
  <si>
    <t>Sample variance of tickets_logged</t>
  </si>
  <si>
    <t>Variance minus mean</t>
  </si>
  <si>
    <t>Variance / mean ratio</t>
  </si>
  <si>
    <t>The variable is discrete</t>
  </si>
  <si>
    <t>Yes. tickets_logged is always a whole number of tickets (0, 1, 2, ...). You cannot log half a ticket, so the count is discrete by nature.</t>
  </si>
  <si>
    <t>Occurrences are random</t>
  </si>
  <si>
    <t>Reasonably yes. A ticket arrives when a student or staff member happens to hit a problem; there is no schedule forcing tickets to appear at fixed times, so day-to-day counts behave like random arrivals rather than a deterministic pattern.</t>
  </si>
  <si>
    <t>Occurrences are independent</t>
  </si>
  <si>
    <t>This is the shakiest condition. Most days probably are independent, but a single root cause (a lab-wide outage, a new tool rollout, or an exam-week rush) can push tickets up on several consecutive days at once, which breaks independence.</t>
  </si>
  <si>
    <t>A concrete real-world break: if the lab pushes a software update on a Monday and it has a bug, students queue up tickets about it on Monday, Tuesday and Wednesday alike — one root cause inflating three consecutive days together, rather than three independent draws. The mean ≈ variance check above is what you can actually verify from the data; the independence condition is closer to a plausible assumption you cannot fully confirm from counts alone.</t>
  </si>
  <si>
    <t>F2. Use the distribution</t>
  </si>
  <si>
    <t>Quantity</t>
  </si>
  <si>
    <t>λ = mean, rounded to 1 dp</t>
  </si>
  <si>
    <t>P(X = 2)</t>
  </si>
  <si>
    <t>P(X = 0)</t>
  </si>
  <si>
    <t>P(X ≥ 2)  [complement of P(0)+P(1)]</t>
  </si>
  <si>
    <t>P(X &gt; 6)  [day exceeds 6-ticket capacity]</t>
  </si>
  <si>
    <t>Expected days per 180-day term exceeding capacity</t>
  </si>
  <si>
    <t>F3. Model against reality</t>
  </si>
  <si>
    <t>Tickets (x)</t>
  </si>
  <si>
    <t>Observed days</t>
  </si>
  <si>
    <t>Expected days (Poisson)</t>
  </si>
  <si>
    <t>Total</t>
  </si>
  <si>
    <t>Answer Sheet — show the formula you used, not just the result</t>
  </si>
  <si>
    <t>Part</t>
  </si>
  <si>
    <t>Your answer</t>
  </si>
  <si>
    <t>Formula / assumption you relied on</t>
  </si>
  <si>
    <t>B1</t>
  </si>
  <si>
    <t>B1.1</t>
  </si>
  <si>
    <t>Z = (value − track mean) / track sample SD.</t>
  </si>
  <si>
    <t>B1.2</t>
  </si>
  <si>
    <t>A has the larger Z-score, so 82 is more exceptional within Cyber Security than 84 is within UI/UX.</t>
  </si>
  <si>
    <t>B1.3</t>
  </si>
  <si>
    <t>Recommend A on assessment alone; also check role fit, portfolio/projects, interviews, communication, experience, and job requirements.</t>
  </si>
  <si>
    <t>Raw scores and Z-scores do not capture all hiring-relevant information.</t>
  </si>
  <si>
    <t>B2</t>
  </si>
  <si>
    <t>B2.1</t>
  </si>
  <si>
    <t>(15 − 57.7833) / 37.5942.</t>
  </si>
  <si>
    <t>B2.2</t>
  </si>
  <si>
    <t>Good news: lower days_to_first_offer is better, so a negative Z is favorable.</t>
  </si>
  <si>
    <t>Direction depends on whether higher or lower values are desirable.</t>
  </si>
  <si>
    <t>B2.3</t>
  </si>
  <si>
    <t>Z alone does not label a result as good or bad.</t>
  </si>
  <si>
    <t>B3</t>
  </si>
  <si>
    <t>B3.1</t>
  </si>
  <si>
    <t>Within each track: Z = (score − track mean) / track sample SD.</t>
  </si>
  <si>
    <t>C1</t>
  </si>
  <si>
    <t>C1.1</t>
  </si>
  <si>
    <t>Histogram plus skewness = 0.0767.</t>
  </si>
  <si>
    <t>A normal distribution has mean, median and mode aligned; here they are close, not identical.</t>
  </si>
  <si>
    <t>Salary moment skewness = 1.3854; mean 15.595 vs median 14.900.</t>
  </si>
  <si>
    <t>C2</t>
  </si>
  <si>
    <t>C2.1</t>
  </si>
  <si>
    <t>Empirical rule: mean ± 1SD and mean ± 2SD.</t>
  </si>
  <si>
    <t>C2.2</t>
  </si>
  <si>
    <t>89.3 is approximately mean + 2SD; normal empirical rule gives ≈2.5% in the upper tail.</t>
  </si>
  <si>
    <t>C2.3</t>
  </si>
  <si>
    <t>2/95 = 2.11% actually above the threshold.</t>
  </si>
  <si>
    <t>Direct count from the Data Science data.</t>
  </si>
  <si>
    <t>C2.4</t>
  </si>
  <si>
    <t>Theoretical probability is model-based; observed proportion has sampling variability and model mismatch.</t>
  </si>
  <si>
    <t>C3</t>
  </si>
  <si>
    <t>C3.1</t>
  </si>
  <si>
    <t>Positive = right/upper tail longer; negative = left/lower tail longer.</t>
  </si>
  <si>
    <t>Bowley skewness = ((Q3−Q2)−(Q2−Q1))/(Q3−Q1).</t>
  </si>
  <si>
    <t>C3.2</t>
  </si>
  <si>
    <t>Overall salary Bowley skewness = 0.0244; it is near zero by this quartile measure, while moment skewness = 1.3854.</t>
  </si>
  <si>
    <t>Compare with mean &gt; median and the upper-tail effect.</t>
  </si>
  <si>
    <t>C3.3</t>
  </si>
  <si>
    <t>UI/UX is closest to symmetric (0.0097); Cyber Security is most clearly right-skewed by Bowley (0.2492).</t>
  </si>
  <si>
    <t>Track-level Bowley coefficients computed from Q1, median and Q3.</t>
  </si>
  <si>
    <t>VISUAL ANALYSIS GALLERY — Parts C1 &amp; C3</t>
  </si>
  <si>
    <t>The charts below are linked to formula-driven tables in C_Distributions. They update when the source data changes and Excel recalculates.</t>
  </si>
  <si>
    <t>C1 — Data Science assessment histogram: broadly symmetric, supporting the requested normal approximation.</t>
  </si>
  <si>
    <t>Salary distribution: more right-tailed, consistent with the high positive moment skewness.</t>
  </si>
  <si>
    <t>C3 — Bowley skewness by track: UI/UX is closest to symmetric; Cyber Security is most right-skewed by this measure.</t>
  </si>
  <si>
    <t>C3 — Mean vs median salary: mean exceeds median overall, illustrating the influence of higher salaries.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</si>
</sst>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
    <numFmt numFmtId="167" formatCode="0.0"/>
  </numFmts>
  <fonts count="36" x14ac:knownFonts="1">
    <font>
      <sz val="11"/>
      <color theme="1"/>
      <name val="Calibri"/>
      <family val="2"/>
      <charset val="1"/>
    </font>
    <font>
      <b/>
      <sz val="14"/>
      <color rgb="FF1F3864"/>
      <name val="Arial"/>
      <family val="2"/>
    </font>
    <font>
      <sz val="10"/>
      <name val="Arial"/>
      <family val="2"/>
    </font>
    <font>
      <b/>
      <sz val="11"/>
      <color rgb="FF1F3864"/>
      <name val="Arial"/>
      <family val="2"/>
    </font>
    <font>
      <b/>
      <sz val="10"/>
      <color rgb="FFFFFFFF"/>
      <name val="Arial"/>
      <family val="2"/>
    </font>
    <font>
      <b/>
      <sz val="14"/>
      <color rgb="FFFFFFFF"/>
      <name val="Arial"/>
      <family val="2"/>
    </font>
    <font>
      <b/>
      <sz val="12"/>
      <color rgb="FF1F4E78"/>
      <name val="Arial"/>
      <family val="2"/>
    </font>
    <font>
      <i/>
      <sz val="9.5"/>
      <color rgb="FF404040"/>
      <name val="Arial"/>
      <family val="2"/>
    </font>
    <font>
      <b/>
      <sz val="10"/>
      <name val="Arial"/>
      <family val="2"/>
    </font>
    <font>
      <b/>
      <sz val="17"/>
      <color rgb="FFFFFFFF"/>
      <name val="Cambria"/>
      <family val="1"/>
    </font>
    <font>
      <i/>
      <sz val="9"/>
      <color rgb="FF404040"/>
      <name val="Cambria"/>
      <family val="1"/>
    </font>
    <font>
      <b/>
      <sz val="10"/>
      <color rgb="FFFFFFFF"/>
      <name val="Cambria"/>
      <family val="1"/>
    </font>
    <font>
      <b/>
      <sz val="9"/>
      <color rgb="FFFFFFFF"/>
      <name val="Cambria"/>
      <family val="1"/>
    </font>
    <font>
      <b/>
      <sz val="10"/>
      <color rgb="FF1F4E78"/>
      <name val="Cambria"/>
      <family val="1"/>
    </font>
    <font>
      <b/>
      <sz val="10"/>
      <color rgb="FF404040"/>
      <name val="Cambria"/>
      <family val="1"/>
      <charset val="1"/>
    </font>
    <font>
      <b/>
      <sz val="9"/>
      <color rgb="FFFFFFFF"/>
      <name val="Cambria"/>
      <family val="1"/>
      <charset val="1"/>
    </font>
    <font>
      <b/>
      <sz val="11"/>
      <color rgb="FFFFFFFF"/>
      <name val="Cambria"/>
      <family val="1"/>
    </font>
    <font>
      <b/>
      <sz val="9"/>
      <color rgb="FF404040"/>
      <name val="Cambria"/>
      <family val="1"/>
    </font>
    <font>
      <b/>
      <sz val="18"/>
      <color rgb="FFFFFFFF"/>
      <name val="Cambria"/>
      <family val="1"/>
    </font>
    <font>
      <i/>
      <sz val="10"/>
      <color rgb="FF53657D"/>
      <name val="Cambria"/>
      <family val="1"/>
    </font>
    <font>
      <b/>
      <sz val="12"/>
      <color rgb="FFFFFFFF"/>
      <name val="Cambria"/>
      <family val="1"/>
    </font>
    <font>
      <b/>
      <sz val="11"/>
      <color rgb="FF203A63"/>
      <name val="Cambria"/>
      <family val="1"/>
    </font>
    <font>
      <b/>
      <sz val="11"/>
      <name val="Cambria"/>
      <family val="1"/>
    </font>
    <font>
      <b/>
      <sz val="11"/>
      <color rgb="FFFFFFFF"/>
      <name val="Cambria"/>
      <family val="1"/>
      <charset val="1"/>
    </font>
    <font>
      <sz val="22"/>
      <color theme="0"/>
      <name val="Calibri"/>
      <family val="2"/>
      <charset val="1"/>
    </font>
    <font>
      <b/>
      <sz val="24"/>
      <color theme="0"/>
      <name val="Calibri"/>
      <family val="2"/>
      <charset val="1"/>
    </font>
    <font>
      <b/>
      <sz val="16"/>
      <color theme="1"/>
      <name val="Calibri"/>
      <family val="2"/>
      <charset val="1"/>
    </font>
    <font>
      <b/>
      <sz val="14"/>
      <color theme="1"/>
      <name val="Calibri"/>
      <family val="2"/>
      <charset val="1"/>
    </font>
    <font>
      <b/>
      <sz val="26"/>
      <color theme="1"/>
      <name val="Calibri"/>
      <family val="2"/>
      <charset val="1"/>
    </font>
    <font>
      <b/>
      <sz val="22"/>
      <color theme="0"/>
      <name val="Calibri"/>
      <family val="2"/>
      <charset val="1"/>
    </font>
    <font>
      <b/>
      <sz val="18"/>
      <color theme="1"/>
      <name val="Calibri"/>
      <family val="2"/>
      <charset val="1"/>
    </font>
    <font>
      <b/>
      <sz val="11"/>
      <color theme="1"/>
      <name val="Calibri"/>
      <family val="2"/>
      <charset val="1"/>
    </font>
    <font>
      <sz val="12"/>
      <color theme="1"/>
      <name val="Calibri"/>
      <family val="2"/>
      <charset val="1"/>
    </font>
    <font>
      <sz val="11"/>
      <color rgb="FF006100"/>
      <name val="Cambria"/>
      <family val="1"/>
    </font>
    <font>
      <b/>
      <sz val="11"/>
      <color rgb="FF1F2937"/>
      <name val="Cambria"/>
      <family val="1"/>
    </font>
    <font>
      <sz val="11"/>
      <color theme="1"/>
      <name val="Calibri"/>
      <family val="2"/>
      <charset val="1"/>
    </font>
  </fonts>
  <fills count="21">
    <fill>
      <patternFill patternType="none"/>
    </fill>
    <fill>
      <patternFill patternType="gray125"/>
    </fill>
    <fill>
      <patternFill patternType="solid">
        <fgColor rgb="FF1F3864"/>
        <bgColor rgb="FF203A63"/>
      </patternFill>
    </fill>
    <fill>
      <patternFill patternType="solid">
        <fgColor rgb="FF1F4E78"/>
        <bgColor rgb="FF335B74"/>
      </patternFill>
    </fill>
    <fill>
      <patternFill patternType="solid">
        <fgColor rgb="FF2E75B6"/>
        <bgColor rgb="FF2683C6"/>
      </patternFill>
    </fill>
    <fill>
      <patternFill patternType="solid">
        <fgColor rgb="FFFFF2CC"/>
        <bgColor rgb="FFFFF1DE"/>
      </patternFill>
    </fill>
    <fill>
      <patternFill patternType="solid">
        <fgColor theme="0"/>
        <bgColor rgb="FFF4F8FB"/>
      </patternFill>
    </fill>
    <fill>
      <patternFill patternType="solid">
        <fgColor rgb="FFE2F0D9"/>
        <bgColor rgb="FFEAF1F8"/>
      </patternFill>
    </fill>
    <fill>
      <patternFill patternType="solid">
        <fgColor rgb="FFD9EAF7"/>
        <bgColor rgb="FFD9E1EA"/>
      </patternFill>
    </fill>
    <fill>
      <patternFill patternType="solid">
        <fgColor rgb="FFF4F8FB"/>
        <bgColor rgb="FFEAF1F8"/>
      </patternFill>
    </fill>
    <fill>
      <patternFill patternType="solid">
        <fgColor rgb="FF203A63"/>
        <bgColor rgb="FF1F3864"/>
      </patternFill>
    </fill>
    <fill>
      <patternFill patternType="solid">
        <fgColor rgb="FFEAF1F8"/>
        <bgColor rgb="FFF4F8FB"/>
      </patternFill>
    </fill>
    <fill>
      <patternFill patternType="solid">
        <fgColor rgb="FFF28C28"/>
        <bgColor rgb="FFFF8080"/>
      </patternFill>
    </fill>
    <fill>
      <patternFill patternType="solid">
        <fgColor rgb="FFFFF1DE"/>
        <bgColor rgb="FFFFF2CC"/>
      </patternFill>
    </fill>
    <fill>
      <patternFill patternType="solid">
        <fgColor rgb="FFFCE4D6"/>
        <bgColor rgb="FFFFF1DE"/>
      </patternFill>
    </fill>
    <fill>
      <patternFill patternType="solid">
        <fgColor theme="3"/>
        <bgColor rgb="FF1F4E78"/>
      </patternFill>
    </fill>
    <fill>
      <patternFill patternType="solid">
        <fgColor theme="4"/>
        <bgColor rgb="FF27CED7"/>
      </patternFill>
    </fill>
    <fill>
      <patternFill patternType="solid">
        <fgColor theme="3" tint="0.59987182226020086"/>
        <bgColor rgb="FFB7C9D6"/>
      </patternFill>
    </fill>
    <fill>
      <patternFill patternType="solid">
        <fgColor theme="6" tint="0.79989013336588644"/>
        <bgColor rgb="FFD9EAF7"/>
      </patternFill>
    </fill>
    <fill>
      <patternFill patternType="solid">
        <fgColor theme="6"/>
        <bgColor rgb="FF1CADE4"/>
      </patternFill>
    </fill>
    <fill>
      <patternFill patternType="solid">
        <fgColor theme="6" tint="0.59987182226020086"/>
        <bgColor rgb="FFD4F5F7"/>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C9D6"/>
      </left>
      <right style="thin">
        <color rgb="FFB7C9D6"/>
      </right>
      <top style="thin">
        <color rgb="FFB7C9D6"/>
      </top>
      <bottom style="thin">
        <color rgb="FFB7C9D6"/>
      </bottom>
      <diagonal/>
    </border>
    <border>
      <left/>
      <right/>
      <top/>
      <bottom style="thin">
        <color rgb="FFD9E1EA"/>
      </bottom>
      <diagonal/>
    </border>
  </borders>
  <cellStyleXfs count="3">
    <xf numFmtId="0" fontId="0" fillId="0" borderId="0"/>
    <xf numFmtId="9" fontId="35" fillId="0" borderId="0"/>
    <xf numFmtId="0" fontId="35" fillId="0" borderId="0"/>
  </cellStyleXfs>
  <cellXfs count="98">
    <xf numFmtId="0" fontId="0" fillId="0" borderId="0" xfId="0"/>
    <xf numFmtId="0" fontId="0" fillId="13" borderId="0" xfId="0" applyFont="1" applyFill="1" applyBorder="1" applyAlignment="1">
      <alignment vertical="top" wrapText="1"/>
    </xf>
    <xf numFmtId="0" fontId="20" fillId="12" borderId="0" xfId="0" applyFont="1" applyFill="1" applyBorder="1" applyAlignment="1">
      <alignment vertical="center"/>
    </xf>
    <xf numFmtId="0" fontId="19" fillId="11" borderId="0" xfId="0" applyFont="1" applyFill="1" applyBorder="1" applyAlignment="1">
      <alignment vertical="center" wrapText="1"/>
    </xf>
    <xf numFmtId="0" fontId="18" fillId="10" borderId="0" xfId="0" applyFont="1" applyFill="1" applyBorder="1" applyAlignment="1">
      <alignment vertical="center"/>
    </xf>
    <xf numFmtId="0" fontId="17" fillId="9" borderId="0" xfId="0" applyFont="1" applyFill="1" applyBorder="1" applyAlignment="1">
      <alignment vertical="center" wrapText="1"/>
    </xf>
    <xf numFmtId="0" fontId="14" fillId="9" borderId="0" xfId="0" applyFont="1" applyFill="1" applyBorder="1" applyAlignment="1">
      <alignment vertical="center" wrapText="1"/>
    </xf>
    <xf numFmtId="0" fontId="0" fillId="0" borderId="4" xfId="0" applyFont="1" applyBorder="1" applyAlignment="1">
      <alignment vertical="center" wrapText="1"/>
    </xf>
    <xf numFmtId="0" fontId="13" fillId="8" borderId="0" xfId="0" applyFont="1" applyFill="1" applyBorder="1" applyAlignment="1">
      <alignment vertical="center" wrapText="1"/>
    </xf>
    <xf numFmtId="0" fontId="11" fillId="4" borderId="0" xfId="0" applyFont="1" applyFill="1" applyBorder="1"/>
    <xf numFmtId="0" fontId="10" fillId="6" borderId="0" xfId="0" applyFont="1" applyFill="1" applyBorder="1" applyAlignment="1">
      <alignment vertical="center" wrapText="1"/>
    </xf>
    <xf numFmtId="0" fontId="9" fillId="3" borderId="0" xfId="0" applyFont="1" applyFill="1" applyBorder="1" applyAlignment="1">
      <alignment horizontal="center" vertical="center"/>
    </xf>
    <xf numFmtId="0" fontId="7" fillId="0" borderId="0" xfId="0" applyFont="1" applyBorder="1" applyAlignment="1">
      <alignment horizontal="left" vertical="top" wrapText="1"/>
    </xf>
    <xf numFmtId="0" fontId="2" fillId="5" borderId="3"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0" fillId="0" borderId="0" xfId="0" applyFont="1"/>
    <xf numFmtId="0" fontId="1" fillId="0" borderId="0" xfId="0" applyFont="1"/>
    <xf numFmtId="0" fontId="2" fillId="0" borderId="0" xfId="0" applyFont="1"/>
    <xf numFmtId="0" fontId="3" fillId="0" borderId="0" xfId="0" applyFont="1"/>
    <xf numFmtId="0" fontId="4" fillId="2" borderId="0" xfId="0" applyFont="1" applyFill="1" applyAlignment="1">
      <alignment horizontal="center"/>
    </xf>
    <xf numFmtId="0" fontId="4" fillId="2" borderId="0" xfId="0" applyFont="1" applyFill="1"/>
    <xf numFmtId="0" fontId="2" fillId="0" borderId="1" xfId="0" applyFont="1" applyBorder="1" applyAlignment="1">
      <alignment vertical="top" wrapText="1"/>
    </xf>
    <xf numFmtId="0" fontId="6" fillId="0" borderId="0" xfId="0" applyFont="1"/>
    <xf numFmtId="0" fontId="4"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5"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12" fillId="4" borderId="4" xfId="0" applyFont="1" applyFill="1" applyBorder="1" applyAlignment="1">
      <alignment horizontal="center" vertical="center" wrapText="1"/>
    </xf>
    <xf numFmtId="0" fontId="0" fillId="0" borderId="4" xfId="0" applyFont="1" applyBorder="1" applyAlignment="1">
      <alignment vertical="center" wrapText="1"/>
    </xf>
    <xf numFmtId="164" fontId="0" fillId="0" borderId="4" xfId="0" applyNumberFormat="1" applyFont="1" applyBorder="1" applyAlignment="1">
      <alignment vertical="center" wrapText="1"/>
    </xf>
    <xf numFmtId="0" fontId="0" fillId="7" borderId="4" xfId="0" applyFont="1" applyFill="1" applyBorder="1" applyAlignment="1">
      <alignment vertical="center" wrapText="1"/>
    </xf>
    <xf numFmtId="0" fontId="0" fillId="5" borderId="4" xfId="0" applyFont="1" applyFill="1" applyBorder="1" applyAlignment="1">
      <alignment vertical="center" wrapText="1"/>
    </xf>
    <xf numFmtId="165" fontId="0" fillId="0" borderId="4" xfId="0" applyNumberFormat="1" applyFont="1" applyBorder="1" applyAlignment="1">
      <alignment vertical="center" wrapText="1"/>
    </xf>
    <xf numFmtId="0" fontId="15" fillId="4" borderId="4" xfId="0" applyFont="1" applyFill="1" applyBorder="1" applyAlignment="1">
      <alignment horizontal="center" vertical="center" wrapText="1"/>
    </xf>
    <xf numFmtId="10" fontId="0" fillId="0" borderId="4" xfId="0" applyNumberFormat="1" applyFont="1" applyBorder="1" applyAlignment="1">
      <alignment vertical="center" wrapText="1"/>
    </xf>
    <xf numFmtId="0" fontId="16" fillId="4" borderId="0" xfId="0" applyFont="1" applyFill="1"/>
    <xf numFmtId="164" fontId="0" fillId="0" borderId="0" xfId="0" applyNumberFormat="1" applyFont="1"/>
    <xf numFmtId="0" fontId="2" fillId="0" borderId="2" xfId="0" applyFont="1" applyBorder="1" applyAlignment="1">
      <alignment horizontal="left" vertical="center" wrapText="1"/>
    </xf>
    <xf numFmtId="0" fontId="16" fillId="10" borderId="5" xfId="0" applyFont="1" applyFill="1" applyBorder="1" applyAlignment="1">
      <alignment horizontal="center" vertical="center" wrapText="1"/>
    </xf>
    <xf numFmtId="0" fontId="0" fillId="0" borderId="5" xfId="0" applyFont="1" applyBorder="1" applyAlignment="1">
      <alignment vertical="top" wrapText="1"/>
    </xf>
    <xf numFmtId="164" fontId="0" fillId="0" borderId="5" xfId="0" applyNumberFormat="1" applyFont="1" applyBorder="1" applyAlignment="1">
      <alignment vertical="top" wrapText="1"/>
    </xf>
    <xf numFmtId="0" fontId="21" fillId="0" borderId="0" xfId="0" applyFont="1"/>
    <xf numFmtId="0" fontId="22" fillId="0" borderId="0" xfId="0" applyFont="1"/>
    <xf numFmtId="165" fontId="0" fillId="0" borderId="0" xfId="0" applyNumberFormat="1" applyFont="1"/>
    <xf numFmtId="0" fontId="0" fillId="0" borderId="0" xfId="0" applyFont="1" applyAlignment="1">
      <alignment vertical="top" wrapText="1"/>
    </xf>
    <xf numFmtId="164" fontId="0" fillId="0" borderId="0" xfId="0" applyNumberFormat="1" applyFont="1" applyAlignment="1">
      <alignment vertical="top" wrapText="1"/>
    </xf>
    <xf numFmtId="0" fontId="16" fillId="16" borderId="5" xfId="0" applyFont="1" applyFill="1" applyBorder="1" applyAlignment="1">
      <alignment vertical="top" wrapText="1"/>
    </xf>
    <xf numFmtId="165" fontId="0" fillId="0" borderId="0" xfId="0" applyNumberFormat="1" applyFont="1" applyAlignment="1">
      <alignment vertical="top" wrapText="1"/>
    </xf>
    <xf numFmtId="0" fontId="16" fillId="17" borderId="5" xfId="0" applyFont="1" applyFill="1" applyBorder="1" applyAlignment="1">
      <alignment vertical="top" wrapText="1"/>
    </xf>
    <xf numFmtId="0" fontId="16" fillId="17" borderId="0" xfId="0" applyFont="1" applyFill="1" applyAlignment="1">
      <alignment horizontal="center" vertical="center" wrapText="1"/>
    </xf>
    <xf numFmtId="0" fontId="23" fillId="17" borderId="0" xfId="0" applyFont="1" applyFill="1" applyAlignment="1">
      <alignment horizontal="center" vertical="center" wrapText="1"/>
    </xf>
    <xf numFmtId="0" fontId="16" fillId="6" borderId="0" xfId="0" applyFont="1" applyFill="1" applyAlignment="1">
      <alignment horizontal="center" vertical="center" wrapText="1"/>
    </xf>
    <xf numFmtId="0" fontId="16" fillId="6" borderId="5" xfId="0" applyFont="1" applyFill="1" applyBorder="1" applyAlignment="1">
      <alignment vertical="top" wrapText="1"/>
    </xf>
    <xf numFmtId="0" fontId="24" fillId="15" borderId="0" xfId="0" applyFont="1" applyFill="1"/>
    <xf numFmtId="0" fontId="25" fillId="15" borderId="0" xfId="0" applyFont="1" applyFill="1"/>
    <xf numFmtId="0" fontId="26" fillId="0" borderId="0" xfId="0" applyFont="1" applyAlignment="1">
      <alignment horizontal="left" vertical="top" wrapText="1"/>
    </xf>
    <xf numFmtId="0" fontId="27" fillId="0" borderId="0" xfId="0" applyFont="1" applyAlignment="1">
      <alignment horizontal="left" vertical="top" wrapText="1"/>
    </xf>
    <xf numFmtId="0" fontId="26" fillId="0" borderId="0" xfId="0" applyFont="1" applyAlignment="1">
      <alignment vertical="top" wrapText="1"/>
    </xf>
    <xf numFmtId="0" fontId="27" fillId="0" borderId="0" xfId="0" applyFont="1" applyAlignment="1">
      <alignment vertical="top" wrapText="1"/>
    </xf>
    <xf numFmtId="0" fontId="0" fillId="15" borderId="0" xfId="0" applyFont="1" applyFill="1"/>
    <xf numFmtId="0" fontId="28" fillId="18" borderId="0" xfId="0" applyFont="1" applyFill="1"/>
    <xf numFmtId="166" fontId="28" fillId="18" borderId="0" xfId="0" applyNumberFormat="1" applyFont="1" applyFill="1"/>
    <xf numFmtId="0" fontId="26" fillId="19" borderId="0" xfId="0" applyFont="1" applyFill="1"/>
    <xf numFmtId="0" fontId="26" fillId="18" borderId="0" xfId="0" applyFont="1" applyFill="1"/>
    <xf numFmtId="0" fontId="29" fillId="15" borderId="0" xfId="0" applyFont="1" applyFill="1"/>
    <xf numFmtId="0" fontId="27" fillId="20" borderId="0" xfId="0" applyFont="1" applyFill="1"/>
    <xf numFmtId="0" fontId="27" fillId="19" borderId="0" xfId="0" applyFont="1" applyFill="1"/>
    <xf numFmtId="0" fontId="0" fillId="20" borderId="0" xfId="0" applyFont="1" applyFill="1"/>
    <xf numFmtId="0" fontId="0" fillId="19" borderId="0" xfId="0" applyFont="1" applyFill="1"/>
    <xf numFmtId="9" fontId="0" fillId="19" borderId="0" xfId="1" applyFont="1" applyFill="1"/>
    <xf numFmtId="0" fontId="31" fillId="0" borderId="0" xfId="0" applyFont="1"/>
    <xf numFmtId="0" fontId="0" fillId="0" borderId="0" xfId="0" applyFont="1" applyAlignment="1">
      <alignment horizontal="left" vertical="top" wrapText="1"/>
    </xf>
    <xf numFmtId="164" fontId="0" fillId="0" borderId="0" xfId="0" applyNumberFormat="1" applyFont="1" applyAlignment="1">
      <alignment horizontal="left" vertical="top" wrapText="1"/>
    </xf>
    <xf numFmtId="167" fontId="27" fillId="0" borderId="0" xfId="0" applyNumberFormat="1" applyFont="1" applyAlignment="1">
      <alignment horizontal="left" vertical="top" wrapText="1"/>
    </xf>
    <xf numFmtId="2" fontId="0" fillId="0" borderId="0" xfId="0" applyNumberFormat="1" applyFont="1" applyAlignment="1">
      <alignment horizontal="left" vertical="top" wrapText="1"/>
    </xf>
    <xf numFmtId="0" fontId="31" fillId="0" borderId="0" xfId="0" applyFont="1" applyAlignment="1">
      <alignment horizontal="left" vertical="top" wrapText="1"/>
    </xf>
    <xf numFmtId="2" fontId="31" fillId="0" borderId="0" xfId="0" applyNumberFormat="1" applyFont="1" applyAlignment="1">
      <alignment horizontal="left" vertical="top" wrapText="1"/>
    </xf>
    <xf numFmtId="0" fontId="1" fillId="0" borderId="0" xfId="0" applyFont="1" applyAlignment="1">
      <alignment vertical="top" wrapText="1"/>
    </xf>
    <xf numFmtId="0" fontId="16" fillId="10" borderId="5" xfId="0" applyFont="1" applyFill="1" applyBorder="1" applyAlignment="1">
      <alignment vertical="top" wrapText="1"/>
    </xf>
    <xf numFmtId="0" fontId="2" fillId="0" borderId="5" xfId="0" applyFont="1" applyBorder="1" applyAlignment="1">
      <alignment vertical="top" wrapText="1"/>
    </xf>
    <xf numFmtId="0" fontId="33" fillId="0" borderId="5" xfId="0" applyFont="1" applyBorder="1" applyAlignment="1">
      <alignment vertical="top" wrapText="1"/>
    </xf>
    <xf numFmtId="0" fontId="34" fillId="0" borderId="0" xfId="0" applyFont="1" applyAlignment="1">
      <alignment wrapText="1"/>
    </xf>
    <xf numFmtId="0" fontId="0" fillId="0" borderId="0" xfId="0" applyFont="1" applyBorder="1" applyAlignment="1">
      <alignment vertical="top" wrapText="1"/>
    </xf>
    <xf numFmtId="0" fontId="0" fillId="7" borderId="0" xfId="0" applyFont="1" applyFill="1" applyBorder="1" applyAlignment="1">
      <alignment vertical="top" wrapText="1"/>
    </xf>
    <xf numFmtId="0" fontId="0" fillId="14" borderId="0" xfId="0" applyFont="1" applyFill="1" applyBorder="1" applyAlignment="1">
      <alignment vertical="top" wrapText="1"/>
    </xf>
    <xf numFmtId="0" fontId="18" fillId="15" borderId="0" xfId="0" applyFont="1" applyFill="1" applyBorder="1" applyAlignment="1">
      <alignment vertical="top" wrapText="1"/>
    </xf>
    <xf numFmtId="0" fontId="19" fillId="6" borderId="0" xfId="0" applyFont="1" applyFill="1" applyBorder="1" applyAlignment="1">
      <alignment vertical="top" wrapText="1"/>
    </xf>
    <xf numFmtId="0" fontId="18" fillId="10" borderId="0" xfId="0" applyFont="1" applyFill="1" applyBorder="1" applyAlignment="1">
      <alignment vertical="top" wrapText="1"/>
    </xf>
    <xf numFmtId="0" fontId="20" fillId="16" borderId="0" xfId="0" applyFont="1" applyFill="1" applyBorder="1" applyAlignment="1">
      <alignment vertical="top" wrapText="1"/>
    </xf>
    <xf numFmtId="0" fontId="26" fillId="0" borderId="0" xfId="0" applyFont="1" applyBorder="1" applyAlignment="1">
      <alignment horizontal="center" vertical="top" wrapText="1"/>
    </xf>
    <xf numFmtId="0" fontId="30" fillId="0" borderId="0" xfId="0" applyFont="1" applyBorder="1" applyAlignment="1">
      <alignment horizontal="left" vertical="top" wrapText="1"/>
    </xf>
    <xf numFmtId="0" fontId="26" fillId="0" borderId="0" xfId="0" applyFont="1" applyBorder="1" applyAlignment="1">
      <alignment horizontal="left" vertical="top" wrapText="1"/>
    </xf>
    <xf numFmtId="0" fontId="30" fillId="0" borderId="0" xfId="0" applyFont="1" applyBorder="1" applyAlignment="1">
      <alignment horizontal="center" vertical="top" wrapText="1"/>
    </xf>
    <xf numFmtId="0" fontId="25" fillId="15" borderId="0" xfId="0" applyFont="1" applyFill="1" applyBorder="1"/>
    <xf numFmtId="0" fontId="32" fillId="0" borderId="0" xfId="0" applyFont="1" applyBorder="1" applyAlignment="1">
      <alignment horizontal="left" vertical="top" wrapText="1"/>
    </xf>
    <xf numFmtId="0" fontId="18" fillId="10" borderId="0" xfId="0" applyFont="1" applyFill="1" applyBorder="1" applyAlignment="1">
      <alignment horizontal="center" vertical="center" wrapText="1"/>
    </xf>
    <xf numFmtId="0" fontId="0" fillId="11" borderId="0" xfId="0" applyFont="1" applyFill="1" applyBorder="1" applyAlignment="1">
      <alignment wrapText="1"/>
    </xf>
    <xf numFmtId="0" fontId="32" fillId="0" borderId="0" xfId="0" applyFont="1" applyBorder="1" applyAlignment="1">
      <alignment horizontal="center" vertical="top" wrapText="1"/>
    </xf>
  </cellXfs>
  <cellStyles count="3">
    <cellStyle name="Normal" xfId="0" builtinId="0"/>
    <cellStyle name="Normal 2" xfId="2" xr:uid="{00000000-0005-0000-0000-000006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4F8FB"/>
      <rgbColor rgb="FFFF00FF"/>
      <rgbColor rgb="FF00FFFF"/>
      <rgbColor rgb="FF800000"/>
      <rgbColor rgb="FF006100"/>
      <rgbColor rgb="FF000080"/>
      <rgbColor rgb="FF808000"/>
      <rgbColor rgb="FF800080"/>
      <rgbColor rgb="FF335B74"/>
      <rgbColor rgb="FFBFBFBF"/>
      <rgbColor rgb="FF878787"/>
      <rgbColor rgb="FFB7C9D6"/>
      <rgbColor rgb="FFC0504D"/>
      <rgbColor rgb="FFFFF2CC"/>
      <rgbColor rgb="FFD4F5F7"/>
      <rgbColor rgb="FF660066"/>
      <rgbColor rgb="FFFF8080"/>
      <rgbColor rgb="FF2683C6"/>
      <rgbColor rgb="FFD9D9D9"/>
      <rgbColor rgb="FF000080"/>
      <rgbColor rgb="FFFF00FF"/>
      <rgbColor rgb="FFEAF1F8"/>
      <rgbColor rgb="FF00FFFF"/>
      <rgbColor rgb="FF800080"/>
      <rgbColor rgb="FF800000"/>
      <rgbColor rgb="FF1F4E78"/>
      <rgbColor rgb="FF0000FF"/>
      <rgbColor rgb="FF1CADE4"/>
      <rgbColor rgb="FFD9EAF7"/>
      <rgbColor rgb="FFE2F0D9"/>
      <rgbColor rgb="FFFFF1DE"/>
      <rgbColor rgb="FFA0C1D5"/>
      <rgbColor rgb="FFD9E1EA"/>
      <rgbColor rgb="FFB7B7B7"/>
      <rgbColor rgb="FFFCE4D6"/>
      <rgbColor rgb="FF2E75B6"/>
      <rgbColor rgb="FF27CED7"/>
      <rgbColor rgb="FFA8ECEF"/>
      <rgbColor rgb="FFFFCC00"/>
      <rgbColor rgb="FFF28C28"/>
      <rgbColor rgb="FFFF6600"/>
      <rgbColor rgb="FF53657D"/>
      <rgbColor rgb="FFB3B3B3"/>
      <rgbColor rgb="FF1F3864"/>
      <rgbColor rgb="FF4F81BD"/>
      <rgbColor rgb="FF003300"/>
      <rgbColor rgb="FF1F2937"/>
      <rgbColor rgb="FF993300"/>
      <rgbColor rgb="FF595959"/>
      <rgbColor rgb="FF203A63"/>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Data Science assessment distribution</a:t>
            </a:r>
          </a:p>
        </c:rich>
      </c:tx>
      <c:overlay val="0"/>
      <c:spPr>
        <a:noFill/>
        <a:ln w="0">
          <a:noFill/>
        </a:ln>
      </c:spPr>
    </c:title>
    <c:autoTitleDeleted val="0"/>
    <c:plotArea>
      <c:layout/>
      <c:barChart>
        <c:barDir val="col"/>
        <c:grouping val="clustered"/>
        <c:varyColors val="0"/>
        <c:ser>
          <c:idx val="0"/>
          <c:order val="0"/>
          <c:tx>
            <c:strRef>
              <c:f>Part_C_Analysis!$I$33</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Part_C_Analysis!$H$34:$H$40</c:f>
              <c:strCache>
                <c:ptCount val="7"/>
                <c:pt idx="0">
                  <c:v>60–&lt;65</c:v>
                </c:pt>
                <c:pt idx="1">
                  <c:v>65–&lt;70</c:v>
                </c:pt>
                <c:pt idx="2">
                  <c:v>70–&lt;75</c:v>
                </c:pt>
                <c:pt idx="3">
                  <c:v>75–&lt;80</c:v>
                </c:pt>
                <c:pt idx="4">
                  <c:v>80–&lt;85</c:v>
                </c:pt>
                <c:pt idx="5">
                  <c:v>85–&lt;90</c:v>
                </c:pt>
                <c:pt idx="6">
                  <c:v>90–&lt;95</c:v>
                </c:pt>
              </c:strCache>
            </c:strRef>
          </c:cat>
          <c:val>
            <c:numRef>
              <c:f>Part_C_Analysis!$I$34:$I$40</c:f>
              <c:numCache>
                <c:formatCode>General</c:formatCode>
                <c:ptCount val="7"/>
                <c:pt idx="0">
                  <c:v>1</c:v>
                </c:pt>
                <c:pt idx="1">
                  <c:v>7</c:v>
                </c:pt>
                <c:pt idx="2">
                  <c:v>26</c:v>
                </c:pt>
                <c:pt idx="3">
                  <c:v>29</c:v>
                </c:pt>
                <c:pt idx="4">
                  <c:v>22</c:v>
                </c:pt>
                <c:pt idx="5">
                  <c:v>8</c:v>
                </c:pt>
                <c:pt idx="6">
                  <c:v>2</c:v>
                </c:pt>
              </c:numCache>
            </c:numRef>
          </c:val>
          <c:extLst>
            <c:ext xmlns:c16="http://schemas.microsoft.com/office/drawing/2014/chart" uri="{C3380CC4-5D6E-409C-BE32-E72D297353CC}">
              <c16:uniqueId val="{00000000-3F1B-4B45-A62F-CCABF43B782B}"/>
            </c:ext>
          </c:extLst>
        </c:ser>
        <c:dLbls>
          <c:showLegendKey val="0"/>
          <c:showVal val="0"/>
          <c:showCatName val="0"/>
          <c:showSerName val="0"/>
          <c:showPercent val="0"/>
          <c:showBubbleSize val="0"/>
        </c:dLbls>
        <c:gapWidth val="150"/>
        <c:axId val="98871000"/>
        <c:axId val="9967252"/>
      </c:barChart>
      <c:catAx>
        <c:axId val="98871000"/>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Score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67252"/>
        <c:crosses val="autoZero"/>
        <c:auto val="1"/>
        <c:lblAlgn val="ctr"/>
        <c:lblOffset val="100"/>
        <c:noMultiLvlLbl val="0"/>
      </c:catAx>
      <c:valAx>
        <c:axId val="9967252"/>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Graduates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88710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Bowley skewness by track</a:t>
            </a:r>
          </a:p>
        </c:rich>
      </c:tx>
      <c:overlay val="0"/>
      <c:spPr>
        <a:noFill/>
        <a:ln w="0">
          <a:noFill/>
        </a:ln>
      </c:spPr>
    </c:title>
    <c:autoTitleDeleted val="0"/>
    <c:plotArea>
      <c:layout/>
      <c:barChart>
        <c:barDir val="col"/>
        <c:grouping val="clustered"/>
        <c:varyColors val="0"/>
        <c:ser>
          <c:idx val="0"/>
          <c:order val="0"/>
          <c:tx>
            <c:strRef>
              <c:f>Part_C_Analysis!$I$20</c:f>
              <c:strCache>
                <c:ptCount val="1"/>
                <c:pt idx="0">
                  <c:v>Bowley</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Part_C_Analysis!$H$21:$H$24</c:f>
              <c:strCache>
                <c:ptCount val="4"/>
                <c:pt idx="0">
                  <c:v>Cyber Security</c:v>
                </c:pt>
                <c:pt idx="1">
                  <c:v>Data Science</c:v>
                </c:pt>
                <c:pt idx="2">
                  <c:v>UI/UX</c:v>
                </c:pt>
                <c:pt idx="3">
                  <c:v>Web Development</c:v>
                </c:pt>
              </c:strCache>
            </c:strRef>
          </c:cat>
          <c:val>
            <c:numRef>
              <c:f>Part_C_Analysis!$I$21:$I$24</c:f>
              <c:numCache>
                <c:formatCode>0.0000</c:formatCode>
                <c:ptCount val="4"/>
                <c:pt idx="0">
                  <c:v>0.24923076923076964</c:v>
                </c:pt>
                <c:pt idx="1">
                  <c:v>6.6666666666666916E-2</c:v>
                </c:pt>
                <c:pt idx="2">
                  <c:v>9.7087378640778113E-3</c:v>
                </c:pt>
                <c:pt idx="3">
                  <c:v>-4.6874999999999833E-2</c:v>
                </c:pt>
              </c:numCache>
            </c:numRef>
          </c:val>
          <c:extLst>
            <c:ext xmlns:c16="http://schemas.microsoft.com/office/drawing/2014/chart" uri="{C3380CC4-5D6E-409C-BE32-E72D297353CC}">
              <c16:uniqueId val="{00000000-ED5C-405D-B090-2B50F6A18878}"/>
            </c:ext>
          </c:extLst>
        </c:ser>
        <c:dLbls>
          <c:showLegendKey val="0"/>
          <c:showVal val="0"/>
          <c:showCatName val="0"/>
          <c:showSerName val="0"/>
          <c:showPercent val="0"/>
          <c:showBubbleSize val="0"/>
        </c:dLbls>
        <c:gapWidth val="150"/>
        <c:axId val="54700966"/>
        <c:axId val="60405903"/>
      </c:barChart>
      <c:catAx>
        <c:axId val="5470096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Track</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0405903"/>
        <c:crosses val="autoZero"/>
        <c:auto val="1"/>
        <c:lblAlgn val="ctr"/>
        <c:lblOffset val="100"/>
        <c:noMultiLvlLbl val="0"/>
      </c:catAx>
      <c:valAx>
        <c:axId val="6040590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Bowley</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7009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Data Science Assessment Score Distribution</a:t>
            </a:r>
          </a:p>
        </c:rich>
      </c:tx>
      <c:overlay val="0"/>
      <c:spPr>
        <a:noFill/>
        <a:ln w="0">
          <a:noFill/>
        </a:ln>
      </c:spPr>
    </c:title>
    <c:autoTitleDeleted val="0"/>
    <c:plotArea>
      <c:layout/>
      <c:barChart>
        <c:barDir val="col"/>
        <c:grouping val="clustered"/>
        <c:varyColors val="0"/>
        <c:ser>
          <c:idx val="0"/>
          <c:order val="0"/>
          <c:tx>
            <c:strRef>
              <c:f>C_Distributions!$D$5</c:f>
              <c:strCache>
                <c:ptCount val="1"/>
                <c:pt idx="0">
                  <c:v>Count</c:v>
                </c:pt>
              </c:strCache>
            </c:strRef>
          </c:tx>
          <c:spPr>
            <a:solidFill>
              <a:srgbClr val="4F81BD"/>
            </a:solidFill>
            <a:ln w="12600">
              <a:solidFill>
                <a:srgbClr val="FFFFFF"/>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C_Distributions!$C$6:$C$12</c:f>
              <c:strCache>
                <c:ptCount val="7"/>
                <c:pt idx="0">
                  <c:v>60–&lt;65</c:v>
                </c:pt>
                <c:pt idx="1">
                  <c:v>65–&lt;70</c:v>
                </c:pt>
                <c:pt idx="2">
                  <c:v>70–&lt;75</c:v>
                </c:pt>
                <c:pt idx="3">
                  <c:v>75–&lt;80</c:v>
                </c:pt>
                <c:pt idx="4">
                  <c:v>80–&lt;85</c:v>
                </c:pt>
                <c:pt idx="5">
                  <c:v>85–&lt;90</c:v>
                </c:pt>
                <c:pt idx="6">
                  <c:v>90–&lt;95</c:v>
                </c:pt>
              </c:strCache>
            </c:strRef>
          </c:cat>
          <c:val>
            <c:numRef>
              <c:f>C_Distributions!$D$6:$D$12</c:f>
              <c:numCache>
                <c:formatCode>General</c:formatCode>
                <c:ptCount val="7"/>
                <c:pt idx="0">
                  <c:v>1</c:v>
                </c:pt>
                <c:pt idx="1">
                  <c:v>7</c:v>
                </c:pt>
                <c:pt idx="2">
                  <c:v>26</c:v>
                </c:pt>
                <c:pt idx="3">
                  <c:v>29</c:v>
                </c:pt>
                <c:pt idx="4">
                  <c:v>22</c:v>
                </c:pt>
                <c:pt idx="5">
                  <c:v>8</c:v>
                </c:pt>
                <c:pt idx="6">
                  <c:v>2</c:v>
                </c:pt>
              </c:numCache>
            </c:numRef>
          </c:val>
          <c:extLst>
            <c:ext xmlns:c16="http://schemas.microsoft.com/office/drawing/2014/chart" uri="{C3380CC4-5D6E-409C-BE32-E72D297353CC}">
              <c16:uniqueId val="{00000000-CF58-47C7-BF73-196A7975A4E9}"/>
            </c:ext>
          </c:extLst>
        </c:ser>
        <c:dLbls>
          <c:showLegendKey val="0"/>
          <c:showVal val="0"/>
          <c:showCatName val="0"/>
          <c:showSerName val="0"/>
          <c:showPercent val="0"/>
          <c:showBubbleSize val="0"/>
        </c:dLbls>
        <c:gapWidth val="0"/>
        <c:axId val="76009921"/>
        <c:axId val="72611725"/>
      </c:barChart>
      <c:catAx>
        <c:axId val="76009921"/>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Score interval</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611725"/>
        <c:crosses val="autoZero"/>
        <c:auto val="1"/>
        <c:lblAlgn val="ctr"/>
        <c:lblOffset val="100"/>
        <c:noMultiLvlLbl val="0"/>
      </c:catAx>
      <c:valAx>
        <c:axId val="72611725"/>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Number of graduates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00992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Starting Salary Distribution</a:t>
            </a:r>
          </a:p>
        </c:rich>
      </c:tx>
      <c:overlay val="0"/>
      <c:spPr>
        <a:noFill/>
        <a:ln w="0">
          <a:noFill/>
        </a:ln>
      </c:spPr>
    </c:title>
    <c:autoTitleDeleted val="0"/>
    <c:plotArea>
      <c:layout/>
      <c:barChart>
        <c:barDir val="col"/>
        <c:grouping val="clustered"/>
        <c:varyColors val="0"/>
        <c:ser>
          <c:idx val="0"/>
          <c:order val="0"/>
          <c:tx>
            <c:strRef>
              <c:f>C_Distributions!$D$21</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C_Distributions!$C$22:$C$29</c:f>
              <c:strCache>
                <c:ptCount val="8"/>
                <c:pt idx="0">
                  <c:v>5–&lt;10</c:v>
                </c:pt>
                <c:pt idx="1">
                  <c:v>10–&lt;15</c:v>
                </c:pt>
                <c:pt idx="2">
                  <c:v>15–&lt;20</c:v>
                </c:pt>
                <c:pt idx="3">
                  <c:v>20–&lt;25</c:v>
                </c:pt>
                <c:pt idx="4">
                  <c:v>25–&lt;30</c:v>
                </c:pt>
                <c:pt idx="5">
                  <c:v>30–&lt;35</c:v>
                </c:pt>
                <c:pt idx="6">
                  <c:v>35–&lt;40</c:v>
                </c:pt>
                <c:pt idx="7">
                  <c:v>40–&lt;45</c:v>
                </c:pt>
              </c:strCache>
            </c:strRef>
          </c:cat>
          <c:val>
            <c:numRef>
              <c:f>C_Distributions!$D$22:$D$29</c:f>
              <c:numCache>
                <c:formatCode>General</c:formatCode>
                <c:ptCount val="8"/>
                <c:pt idx="0">
                  <c:v>49</c:v>
                </c:pt>
                <c:pt idx="1">
                  <c:v>102</c:v>
                </c:pt>
                <c:pt idx="2">
                  <c:v>86</c:v>
                </c:pt>
                <c:pt idx="3">
                  <c:v>49</c:v>
                </c:pt>
                <c:pt idx="4">
                  <c:v>5</c:v>
                </c:pt>
                <c:pt idx="5">
                  <c:v>4</c:v>
                </c:pt>
                <c:pt idx="6">
                  <c:v>3</c:v>
                </c:pt>
                <c:pt idx="7">
                  <c:v>1</c:v>
                </c:pt>
              </c:numCache>
            </c:numRef>
          </c:val>
          <c:extLst>
            <c:ext xmlns:c16="http://schemas.microsoft.com/office/drawing/2014/chart" uri="{C3380CC4-5D6E-409C-BE32-E72D297353CC}">
              <c16:uniqueId val="{00000000-960D-4B9B-BB8A-8BDED0ACB72E}"/>
            </c:ext>
          </c:extLst>
        </c:ser>
        <c:dLbls>
          <c:showLegendKey val="0"/>
          <c:showVal val="0"/>
          <c:showCatName val="0"/>
          <c:showSerName val="0"/>
          <c:showPercent val="0"/>
          <c:showBubbleSize val="0"/>
        </c:dLbls>
        <c:gapWidth val="150"/>
        <c:axId val="47846524"/>
        <c:axId val="69311400"/>
      </c:barChart>
      <c:catAx>
        <c:axId val="4784652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Salary interval (k 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311400"/>
        <c:crosses val="autoZero"/>
        <c:auto val="1"/>
        <c:lblAlgn val="ctr"/>
        <c:lblOffset val="100"/>
        <c:noMultiLvlLbl val="0"/>
      </c:catAx>
      <c:valAx>
        <c:axId val="69311400"/>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Number of graduates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84652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Bowley Skewness by Track</a:t>
            </a:r>
          </a:p>
        </c:rich>
      </c:tx>
      <c:overlay val="0"/>
      <c:spPr>
        <a:noFill/>
        <a:ln w="0">
          <a:noFill/>
        </a:ln>
      </c:spPr>
    </c:title>
    <c:autoTitleDeleted val="0"/>
    <c:plotArea>
      <c:layout/>
      <c:barChart>
        <c:barDir val="col"/>
        <c:grouping val="clustered"/>
        <c:varyColors val="0"/>
        <c:ser>
          <c:idx val="0"/>
          <c:order val="0"/>
          <c:tx>
            <c:strRef>
              <c:f>C_Distributions!$E$45</c:f>
              <c:strCache>
                <c:ptCount val="1"/>
                <c:pt idx="0">
                  <c:v>Bowley skewness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C_Distributions!$A$46:$A$49</c:f>
              <c:strCache>
                <c:ptCount val="4"/>
                <c:pt idx="0">
                  <c:v>Cyber Security</c:v>
                </c:pt>
                <c:pt idx="1">
                  <c:v>Data Science</c:v>
                </c:pt>
                <c:pt idx="2">
                  <c:v>UI/UX</c:v>
                </c:pt>
                <c:pt idx="3">
                  <c:v>Web Development</c:v>
                </c:pt>
              </c:strCache>
            </c:strRef>
          </c:cat>
          <c:val>
            <c:numRef>
              <c:f>C_Distributions!$E$46:$E$49</c:f>
              <c:numCache>
                <c:formatCode>0.0000</c:formatCode>
                <c:ptCount val="4"/>
                <c:pt idx="0">
                  <c:v>0.24923076923076964</c:v>
                </c:pt>
                <c:pt idx="1">
                  <c:v>6.6666666666666916E-2</c:v>
                </c:pt>
                <c:pt idx="2">
                  <c:v>9.7087378640778113E-3</c:v>
                </c:pt>
                <c:pt idx="3">
                  <c:v>-4.6874999999999833E-2</c:v>
                </c:pt>
              </c:numCache>
            </c:numRef>
          </c:val>
          <c:extLst>
            <c:ext xmlns:c16="http://schemas.microsoft.com/office/drawing/2014/chart" uri="{C3380CC4-5D6E-409C-BE32-E72D297353CC}">
              <c16:uniqueId val="{00000000-E3F7-41B4-A321-BFAC34333CAA}"/>
            </c:ext>
          </c:extLst>
        </c:ser>
        <c:dLbls>
          <c:showLegendKey val="0"/>
          <c:showVal val="0"/>
          <c:showCatName val="0"/>
          <c:showSerName val="0"/>
          <c:showPercent val="0"/>
          <c:showBubbleSize val="0"/>
        </c:dLbls>
        <c:gapWidth val="150"/>
        <c:axId val="23283416"/>
        <c:axId val="24035859"/>
      </c:barChart>
      <c:catAx>
        <c:axId val="2328341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Track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035859"/>
        <c:crosses val="autoZero"/>
        <c:auto val="1"/>
        <c:lblAlgn val="ctr"/>
        <c:lblOffset val="100"/>
        <c:noMultiLvlLbl val="0"/>
      </c:catAx>
      <c:valAx>
        <c:axId val="24035859"/>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Bowley skewness</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28341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Starting Salary: Mean vs Median by Track</a:t>
            </a:r>
          </a:p>
        </c:rich>
      </c:tx>
      <c:overlay val="0"/>
      <c:spPr>
        <a:noFill/>
        <a:ln w="0">
          <a:noFill/>
        </a:ln>
      </c:spPr>
    </c:title>
    <c:autoTitleDeleted val="0"/>
    <c:plotArea>
      <c:layout/>
      <c:barChart>
        <c:barDir val="col"/>
        <c:grouping val="clustered"/>
        <c:varyColors val="0"/>
        <c:ser>
          <c:idx val="0"/>
          <c:order val="0"/>
          <c:tx>
            <c:strRef>
              <c:f>C_Distributions!$B$51</c:f>
              <c:strCache>
                <c:ptCount val="1"/>
                <c:pt idx="0">
                  <c:v>Mean salary</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C_Distributions!$A$52:$A$55</c:f>
              <c:strCache>
                <c:ptCount val="4"/>
                <c:pt idx="0">
                  <c:v>Cyber Security</c:v>
                </c:pt>
                <c:pt idx="1">
                  <c:v>Data Science</c:v>
                </c:pt>
                <c:pt idx="2">
                  <c:v>UI/UX</c:v>
                </c:pt>
                <c:pt idx="3">
                  <c:v>Web Development</c:v>
                </c:pt>
              </c:strCache>
            </c:strRef>
          </c:cat>
          <c:val>
            <c:numRef>
              <c:f>C_Distributions!$B$52:$B$55</c:f>
              <c:numCache>
                <c:formatCode>0.0000</c:formatCode>
                <c:ptCount val="4"/>
                <c:pt idx="0">
                  <c:v>16.491935483870961</c:v>
                </c:pt>
                <c:pt idx="1">
                  <c:v>17.953684210526315</c:v>
                </c:pt>
                <c:pt idx="2">
                  <c:v>13.047272727272725</c:v>
                </c:pt>
                <c:pt idx="3">
                  <c:v>14.009090909090906</c:v>
                </c:pt>
              </c:numCache>
            </c:numRef>
          </c:val>
          <c:extLst>
            <c:ext xmlns:c16="http://schemas.microsoft.com/office/drawing/2014/chart" uri="{C3380CC4-5D6E-409C-BE32-E72D297353CC}">
              <c16:uniqueId val="{00000000-B74C-4411-AB47-28E3BB96C9C0}"/>
            </c:ext>
          </c:extLst>
        </c:ser>
        <c:ser>
          <c:idx val="1"/>
          <c:order val="1"/>
          <c:tx>
            <c:strRef>
              <c:f>C_Distributions!$C$51</c:f>
              <c:strCache>
                <c:ptCount val="1"/>
                <c:pt idx="0">
                  <c:v>Median salary</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C_Distributions!$A$52:$A$55</c:f>
              <c:strCache>
                <c:ptCount val="4"/>
                <c:pt idx="0">
                  <c:v>Cyber Security</c:v>
                </c:pt>
                <c:pt idx="1">
                  <c:v>Data Science</c:v>
                </c:pt>
                <c:pt idx="2">
                  <c:v>UI/UX</c:v>
                </c:pt>
                <c:pt idx="3">
                  <c:v>Web Development</c:v>
                </c:pt>
              </c:strCache>
            </c:strRef>
          </c:cat>
          <c:val>
            <c:numRef>
              <c:f>C_Distributions!$C$52:$C$55</c:f>
              <c:numCache>
                <c:formatCode>0.0000</c:formatCode>
                <c:ptCount val="4"/>
                <c:pt idx="0">
                  <c:v>15.45</c:v>
                </c:pt>
                <c:pt idx="1">
                  <c:v>16.899999999999999</c:v>
                </c:pt>
                <c:pt idx="2">
                  <c:v>12.4</c:v>
                </c:pt>
                <c:pt idx="3">
                  <c:v>13.45</c:v>
                </c:pt>
              </c:numCache>
            </c:numRef>
          </c:val>
          <c:extLst>
            <c:ext xmlns:c16="http://schemas.microsoft.com/office/drawing/2014/chart" uri="{C3380CC4-5D6E-409C-BE32-E72D297353CC}">
              <c16:uniqueId val="{00000001-B74C-4411-AB47-28E3BB96C9C0}"/>
            </c:ext>
          </c:extLst>
        </c:ser>
        <c:dLbls>
          <c:showLegendKey val="0"/>
          <c:showVal val="0"/>
          <c:showCatName val="0"/>
          <c:showSerName val="0"/>
          <c:showPercent val="0"/>
          <c:showBubbleSize val="0"/>
        </c:dLbls>
        <c:gapWidth val="150"/>
        <c:axId val="38381618"/>
        <c:axId val="49075859"/>
      </c:barChart>
      <c:catAx>
        <c:axId val="38381618"/>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Track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075859"/>
        <c:crosses val="autoZero"/>
        <c:auto val="1"/>
        <c:lblAlgn val="ctr"/>
        <c:lblOffset val="100"/>
        <c:noMultiLvlLbl val="0"/>
      </c:catAx>
      <c:valAx>
        <c:axId val="49075859"/>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Salary (k L.E.)</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38161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Binomial Distribution</a:t>
            </a:r>
          </a:p>
        </c:rich>
      </c:tx>
      <c:overlay val="0"/>
      <c:spPr>
        <a:noFill/>
        <a:ln w="0">
          <a:noFill/>
        </a:ln>
      </c:spPr>
    </c:title>
    <c:autoTitleDeleted val="0"/>
    <c:plotArea>
      <c:layout/>
      <c:barChart>
        <c:barDir val="col"/>
        <c:grouping val="clustered"/>
        <c:varyColors val="0"/>
        <c:ser>
          <c:idx val="0"/>
          <c:order val="0"/>
          <c:spPr>
            <a:solidFill>
              <a:srgbClr val="1CADE4"/>
            </a:solidFill>
            <a:ln w="0">
              <a:noFill/>
            </a:ln>
          </c:spPr>
          <c:invertIfNegative val="0"/>
          <c:dLbls>
            <c:spPr>
              <a:noFill/>
              <a:ln>
                <a:noFill/>
              </a:ln>
              <a:effectLst/>
            </c:spPr>
            <c:txPr>
              <a:bodyPr wrap="square"/>
              <a:lstStyle/>
              <a:p>
                <a:pPr>
                  <a:defRPr sz="900" b="0" strike="noStrike" spc="-1">
                    <a:solidFill>
                      <a:srgbClr val="40404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'Part E'!$B$39:$B$45</c:f>
              <c:numCache>
                <c:formatCode>General</c:formatCode>
                <c:ptCount val="7"/>
                <c:pt idx="0">
                  <c:v>0</c:v>
                </c:pt>
                <c:pt idx="1">
                  <c:v>1</c:v>
                </c:pt>
                <c:pt idx="2">
                  <c:v>2</c:v>
                </c:pt>
                <c:pt idx="3">
                  <c:v>3</c:v>
                </c:pt>
                <c:pt idx="4">
                  <c:v>4</c:v>
                </c:pt>
                <c:pt idx="5">
                  <c:v>5</c:v>
                </c:pt>
                <c:pt idx="6">
                  <c:v>6</c:v>
                </c:pt>
              </c:numCache>
            </c:numRef>
          </c:cat>
          <c:val>
            <c:numRef>
              <c:f>'Part E'!$C$39:$C$45</c:f>
              <c:numCache>
                <c:formatCode>General</c:formatCode>
                <c:ptCount val="7"/>
                <c:pt idx="0">
                  <c:v>0.12636078559378131</c:v>
                </c:pt>
                <c:pt idx="1">
                  <c:v>0.31210897299321627</c:v>
                </c:pt>
                <c:pt idx="2">
                  <c:v>0.32120992074773541</c:v>
                </c:pt>
                <c:pt idx="3">
                  <c:v>0.1763073321428392</c:v>
                </c:pt>
                <c:pt idx="4">
                  <c:v>5.443451078166562E-2</c:v>
                </c:pt>
                <c:pt idx="5">
                  <c:v>8.9634871956087367E-3</c:v>
                </c:pt>
                <c:pt idx="6">
                  <c:v>6.1499054515325906E-4</c:v>
                </c:pt>
              </c:numCache>
            </c:numRef>
          </c:val>
          <c:extLst>
            <c:ext xmlns:c16="http://schemas.microsoft.com/office/drawing/2014/chart" uri="{C3380CC4-5D6E-409C-BE32-E72D297353CC}">
              <c16:uniqueId val="{00000000-2DFD-4F66-8715-879D3450431D}"/>
            </c:ext>
          </c:extLst>
        </c:ser>
        <c:dLbls>
          <c:showLegendKey val="0"/>
          <c:showVal val="0"/>
          <c:showCatName val="0"/>
          <c:showSerName val="0"/>
          <c:showPercent val="0"/>
          <c:showBubbleSize val="0"/>
        </c:dLbls>
        <c:gapWidth val="219"/>
        <c:overlap val="-27"/>
        <c:axId val="12089719"/>
        <c:axId val="62402022"/>
      </c:barChart>
      <c:catAx>
        <c:axId val="1208971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2402022"/>
        <c:crosses val="autoZero"/>
        <c:auto val="1"/>
        <c:lblAlgn val="ctr"/>
        <c:lblOffset val="100"/>
        <c:noMultiLvlLbl val="0"/>
      </c:catAx>
      <c:valAx>
        <c:axId val="62402022"/>
        <c:scaling>
          <c:orientation val="minMax"/>
        </c:scaling>
        <c:delete val="1"/>
        <c:axPos val="l"/>
        <c:numFmt formatCode="General" sourceLinked="1"/>
        <c:majorTickMark val="none"/>
        <c:minorTickMark val="none"/>
        <c:tickLblPos val="nextTo"/>
        <c:crossAx val="1208971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Helpdesk tickets: observed vs Poisson-expected days</a:t>
            </a:r>
          </a:p>
        </c:rich>
      </c:tx>
      <c:overlay val="0"/>
      <c:spPr>
        <a:noFill/>
        <a:ln w="0">
          <a:noFill/>
        </a:ln>
      </c:spPr>
    </c:title>
    <c:autoTitleDeleted val="0"/>
    <c:plotArea>
      <c:layout/>
      <c:barChart>
        <c:barDir val="col"/>
        <c:grouping val="clustered"/>
        <c:varyColors val="0"/>
        <c:ser>
          <c:idx val="0"/>
          <c:order val="0"/>
          <c:tx>
            <c:strRef>
              <c:f>'Part F'!$C$39</c:f>
              <c:strCache>
                <c:ptCount val="1"/>
                <c:pt idx="0">
                  <c:v>Observed days</c:v>
                </c:pt>
              </c:strCache>
            </c:strRef>
          </c:tx>
          <c:spPr>
            <a:solidFill>
              <a:srgbClr val="1CADE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'Part F'!$B$40:$B$49</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'Part F'!$C$40:$C$49</c:f>
              <c:numCache>
                <c:formatCode>General</c:formatCode>
                <c:ptCount val="10"/>
                <c:pt idx="0">
                  <c:v>5</c:v>
                </c:pt>
                <c:pt idx="1">
                  <c:v>12</c:v>
                </c:pt>
                <c:pt idx="2">
                  <c:v>40</c:v>
                </c:pt>
                <c:pt idx="3">
                  <c:v>24</c:v>
                </c:pt>
                <c:pt idx="4">
                  <c:v>46</c:v>
                </c:pt>
                <c:pt idx="5">
                  <c:v>24</c:v>
                </c:pt>
                <c:pt idx="6">
                  <c:v>13</c:v>
                </c:pt>
                <c:pt idx="7">
                  <c:v>10</c:v>
                </c:pt>
                <c:pt idx="8">
                  <c:v>3</c:v>
                </c:pt>
                <c:pt idx="9">
                  <c:v>3</c:v>
                </c:pt>
              </c:numCache>
            </c:numRef>
          </c:val>
          <c:extLst>
            <c:ext xmlns:c16="http://schemas.microsoft.com/office/drawing/2014/chart" uri="{C3380CC4-5D6E-409C-BE32-E72D297353CC}">
              <c16:uniqueId val="{00000000-B04D-4F0A-9E9B-BE3F14C28993}"/>
            </c:ext>
          </c:extLst>
        </c:ser>
        <c:ser>
          <c:idx val="1"/>
          <c:order val="1"/>
          <c:tx>
            <c:strRef>
              <c:f>'Part F'!$D$39</c:f>
              <c:strCache>
                <c:ptCount val="1"/>
                <c:pt idx="0">
                  <c:v>Expected days (Poisson)</c:v>
                </c:pt>
              </c:strCache>
            </c:strRef>
          </c:tx>
          <c:spPr>
            <a:solidFill>
              <a:srgbClr val="2683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'Part F'!$B$40:$B$49</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'Part F'!$D$40:$D$49</c:f>
              <c:numCache>
                <c:formatCode>0.00</c:formatCode>
                <c:ptCount val="10"/>
                <c:pt idx="0">
                  <c:v>4.45023476466109</c:v>
                </c:pt>
                <c:pt idx="1">
                  <c:v>16.465868629246032</c:v>
                </c:pt>
                <c:pt idx="2">
                  <c:v>30.461856964105174</c:v>
                </c:pt>
                <c:pt idx="3">
                  <c:v>37.569623589063042</c:v>
                </c:pt>
                <c:pt idx="4">
                  <c:v>34.751901819883315</c:v>
                </c:pt>
                <c:pt idx="5">
                  <c:v>25.716407346713645</c:v>
                </c:pt>
                <c:pt idx="6">
                  <c:v>15.858451197140084</c:v>
                </c:pt>
                <c:pt idx="7">
                  <c:v>8.3823242042026127</c:v>
                </c:pt>
                <c:pt idx="8">
                  <c:v>3.8768249444437148</c:v>
                </c:pt>
                <c:pt idx="9">
                  <c:v>1.5938058104935238</c:v>
                </c:pt>
              </c:numCache>
            </c:numRef>
          </c:val>
          <c:extLst>
            <c:ext xmlns:c16="http://schemas.microsoft.com/office/drawing/2014/chart" uri="{C3380CC4-5D6E-409C-BE32-E72D297353CC}">
              <c16:uniqueId val="{00000001-B04D-4F0A-9E9B-BE3F14C28993}"/>
            </c:ext>
          </c:extLst>
        </c:ser>
        <c:dLbls>
          <c:showLegendKey val="0"/>
          <c:showVal val="0"/>
          <c:showCatName val="0"/>
          <c:showSerName val="0"/>
          <c:showPercent val="0"/>
          <c:showBubbleSize val="0"/>
        </c:dLbls>
        <c:gapWidth val="150"/>
        <c:axId val="17213015"/>
        <c:axId val="93561288"/>
      </c:barChart>
      <c:catAx>
        <c:axId val="1721301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Tickets logged in a day</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3561288"/>
        <c:crosses val="autoZero"/>
        <c:auto val="1"/>
        <c:lblAlgn val="ctr"/>
        <c:lblOffset val="100"/>
        <c:noMultiLvlLbl val="0"/>
      </c:catAx>
      <c:valAx>
        <c:axId val="9356128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Days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2130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Data Science Assessment Score Distribution</a:t>
            </a:r>
          </a:p>
        </c:rich>
      </c:tx>
      <c:overlay val="0"/>
      <c:spPr>
        <a:noFill/>
        <a:ln w="0">
          <a:noFill/>
        </a:ln>
      </c:spPr>
    </c:title>
    <c:autoTitleDeleted val="0"/>
    <c:plotArea>
      <c:layout/>
      <c:barChart>
        <c:barDir val="col"/>
        <c:grouping val="clustered"/>
        <c:varyColors val="0"/>
        <c:ser>
          <c:idx val="0"/>
          <c:order val="0"/>
          <c:tx>
            <c:strRef>
              <c:f>C_Distributions!$D$5</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C_Distributions!$C$6:$C$12</c:f>
              <c:strCache>
                <c:ptCount val="7"/>
                <c:pt idx="0">
                  <c:v>60–&lt;65</c:v>
                </c:pt>
                <c:pt idx="1">
                  <c:v>65–&lt;70</c:v>
                </c:pt>
                <c:pt idx="2">
                  <c:v>70–&lt;75</c:v>
                </c:pt>
                <c:pt idx="3">
                  <c:v>75–&lt;80</c:v>
                </c:pt>
                <c:pt idx="4">
                  <c:v>80–&lt;85</c:v>
                </c:pt>
                <c:pt idx="5">
                  <c:v>85–&lt;90</c:v>
                </c:pt>
                <c:pt idx="6">
                  <c:v>90–&lt;95</c:v>
                </c:pt>
              </c:strCache>
            </c:strRef>
          </c:cat>
          <c:val>
            <c:numRef>
              <c:f>C_Distributions!$D$6:$D$12</c:f>
              <c:numCache>
                <c:formatCode>General</c:formatCode>
                <c:ptCount val="7"/>
                <c:pt idx="0">
                  <c:v>1</c:v>
                </c:pt>
                <c:pt idx="1">
                  <c:v>7</c:v>
                </c:pt>
                <c:pt idx="2">
                  <c:v>26</c:v>
                </c:pt>
                <c:pt idx="3">
                  <c:v>29</c:v>
                </c:pt>
                <c:pt idx="4">
                  <c:v>22</c:v>
                </c:pt>
                <c:pt idx="5">
                  <c:v>8</c:v>
                </c:pt>
                <c:pt idx="6">
                  <c:v>2</c:v>
                </c:pt>
              </c:numCache>
            </c:numRef>
          </c:val>
          <c:extLst>
            <c:ext xmlns:c16="http://schemas.microsoft.com/office/drawing/2014/chart" uri="{C3380CC4-5D6E-409C-BE32-E72D297353CC}">
              <c16:uniqueId val="{00000000-7A22-4529-A6C5-783471044008}"/>
            </c:ext>
          </c:extLst>
        </c:ser>
        <c:dLbls>
          <c:showLegendKey val="0"/>
          <c:showVal val="0"/>
          <c:showCatName val="0"/>
          <c:showSerName val="0"/>
          <c:showPercent val="0"/>
          <c:showBubbleSize val="0"/>
        </c:dLbls>
        <c:gapWidth val="150"/>
        <c:axId val="26105096"/>
        <c:axId val="94903583"/>
      </c:barChart>
      <c:catAx>
        <c:axId val="2610509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Score interval</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903583"/>
        <c:crosses val="autoZero"/>
        <c:auto val="1"/>
        <c:lblAlgn val="ctr"/>
        <c:lblOffset val="100"/>
        <c:noMultiLvlLbl val="0"/>
      </c:catAx>
      <c:valAx>
        <c:axId val="9490358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Number of graduates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1050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Starting Salary Distribution</a:t>
            </a:r>
          </a:p>
        </c:rich>
      </c:tx>
      <c:overlay val="0"/>
      <c:spPr>
        <a:noFill/>
        <a:ln w="0">
          <a:noFill/>
        </a:ln>
      </c:spPr>
    </c:title>
    <c:autoTitleDeleted val="0"/>
    <c:plotArea>
      <c:layout/>
      <c:barChart>
        <c:barDir val="col"/>
        <c:grouping val="clustered"/>
        <c:varyColors val="0"/>
        <c:ser>
          <c:idx val="0"/>
          <c:order val="0"/>
          <c:tx>
            <c:strRef>
              <c:f>C_Distributions!$D$21</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C_Distributions!$C$22:$C$29</c:f>
              <c:strCache>
                <c:ptCount val="8"/>
                <c:pt idx="0">
                  <c:v>5–&lt;10</c:v>
                </c:pt>
                <c:pt idx="1">
                  <c:v>10–&lt;15</c:v>
                </c:pt>
                <c:pt idx="2">
                  <c:v>15–&lt;20</c:v>
                </c:pt>
                <c:pt idx="3">
                  <c:v>20–&lt;25</c:v>
                </c:pt>
                <c:pt idx="4">
                  <c:v>25–&lt;30</c:v>
                </c:pt>
                <c:pt idx="5">
                  <c:v>30–&lt;35</c:v>
                </c:pt>
                <c:pt idx="6">
                  <c:v>35–&lt;40</c:v>
                </c:pt>
                <c:pt idx="7">
                  <c:v>40–&lt;45</c:v>
                </c:pt>
              </c:strCache>
            </c:strRef>
          </c:cat>
          <c:val>
            <c:numRef>
              <c:f>C_Distributions!$D$22:$D$29</c:f>
              <c:numCache>
                <c:formatCode>General</c:formatCode>
                <c:ptCount val="8"/>
                <c:pt idx="0">
                  <c:v>49</c:v>
                </c:pt>
                <c:pt idx="1">
                  <c:v>102</c:v>
                </c:pt>
                <c:pt idx="2">
                  <c:v>86</c:v>
                </c:pt>
                <c:pt idx="3">
                  <c:v>49</c:v>
                </c:pt>
                <c:pt idx="4">
                  <c:v>5</c:v>
                </c:pt>
                <c:pt idx="5">
                  <c:v>4</c:v>
                </c:pt>
                <c:pt idx="6">
                  <c:v>3</c:v>
                </c:pt>
                <c:pt idx="7">
                  <c:v>1</c:v>
                </c:pt>
              </c:numCache>
            </c:numRef>
          </c:val>
          <c:extLst>
            <c:ext xmlns:c16="http://schemas.microsoft.com/office/drawing/2014/chart" uri="{C3380CC4-5D6E-409C-BE32-E72D297353CC}">
              <c16:uniqueId val="{00000000-622D-41B8-9BA1-01613CE720FA}"/>
            </c:ext>
          </c:extLst>
        </c:ser>
        <c:dLbls>
          <c:showLegendKey val="0"/>
          <c:showVal val="0"/>
          <c:showCatName val="0"/>
          <c:showSerName val="0"/>
          <c:showPercent val="0"/>
          <c:showBubbleSize val="0"/>
        </c:dLbls>
        <c:gapWidth val="150"/>
        <c:axId val="93120152"/>
        <c:axId val="43093654"/>
      </c:barChart>
      <c:catAx>
        <c:axId val="9312015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Salary interval (k L.E.)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093654"/>
        <c:crosses val="autoZero"/>
        <c:auto val="1"/>
        <c:lblAlgn val="ctr"/>
        <c:lblOffset val="100"/>
        <c:noMultiLvlLbl val="0"/>
      </c:catAx>
      <c:valAx>
        <c:axId val="4309365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Number of graduates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1201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Bowley Skewness by Track</a:t>
            </a:r>
          </a:p>
        </c:rich>
      </c:tx>
      <c:overlay val="0"/>
      <c:spPr>
        <a:noFill/>
        <a:ln w="0">
          <a:noFill/>
        </a:ln>
      </c:spPr>
    </c:title>
    <c:autoTitleDeleted val="0"/>
    <c:plotArea>
      <c:layout/>
      <c:barChart>
        <c:barDir val="col"/>
        <c:grouping val="clustered"/>
        <c:varyColors val="0"/>
        <c:ser>
          <c:idx val="0"/>
          <c:order val="0"/>
          <c:tx>
            <c:strRef>
              <c:f>C_Distributions!$E$45</c:f>
              <c:strCache>
                <c:ptCount val="1"/>
                <c:pt idx="0">
                  <c:v>Bowley skewness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C_Distributions!$A$46:$A$49</c:f>
              <c:strCache>
                <c:ptCount val="4"/>
                <c:pt idx="0">
                  <c:v>Cyber Security</c:v>
                </c:pt>
                <c:pt idx="1">
                  <c:v>Data Science</c:v>
                </c:pt>
                <c:pt idx="2">
                  <c:v>UI/UX</c:v>
                </c:pt>
                <c:pt idx="3">
                  <c:v>Web Development</c:v>
                </c:pt>
              </c:strCache>
            </c:strRef>
          </c:cat>
          <c:val>
            <c:numRef>
              <c:f>C_Distributions!$E$46:$E$49</c:f>
              <c:numCache>
                <c:formatCode>0.0000</c:formatCode>
                <c:ptCount val="4"/>
                <c:pt idx="0">
                  <c:v>0.24923076923076964</c:v>
                </c:pt>
                <c:pt idx="1">
                  <c:v>6.6666666666666916E-2</c:v>
                </c:pt>
                <c:pt idx="2">
                  <c:v>9.7087378640778113E-3</c:v>
                </c:pt>
                <c:pt idx="3">
                  <c:v>-4.6874999999999833E-2</c:v>
                </c:pt>
              </c:numCache>
            </c:numRef>
          </c:val>
          <c:extLst>
            <c:ext xmlns:c16="http://schemas.microsoft.com/office/drawing/2014/chart" uri="{C3380CC4-5D6E-409C-BE32-E72D297353CC}">
              <c16:uniqueId val="{00000000-F009-413E-B2CB-5C33DA08A12F}"/>
            </c:ext>
          </c:extLst>
        </c:ser>
        <c:dLbls>
          <c:showLegendKey val="0"/>
          <c:showVal val="0"/>
          <c:showCatName val="0"/>
          <c:showSerName val="0"/>
          <c:showPercent val="0"/>
          <c:showBubbleSize val="0"/>
        </c:dLbls>
        <c:gapWidth val="150"/>
        <c:axId val="14764437"/>
        <c:axId val="7512899"/>
      </c:barChart>
      <c:catAx>
        <c:axId val="1476443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Track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12899"/>
        <c:crosses val="autoZero"/>
        <c:auto val="1"/>
        <c:lblAlgn val="ctr"/>
        <c:lblOffset val="100"/>
        <c:noMultiLvlLbl val="0"/>
      </c:catAx>
      <c:valAx>
        <c:axId val="75128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Bowley skewness</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76443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Starting Salary: Mean vs Median by Track</a:t>
            </a:r>
          </a:p>
        </c:rich>
      </c:tx>
      <c:overlay val="0"/>
      <c:spPr>
        <a:noFill/>
        <a:ln w="0">
          <a:noFill/>
        </a:ln>
      </c:spPr>
    </c:title>
    <c:autoTitleDeleted val="0"/>
    <c:plotArea>
      <c:layout/>
      <c:barChart>
        <c:barDir val="col"/>
        <c:grouping val="clustered"/>
        <c:varyColors val="0"/>
        <c:ser>
          <c:idx val="0"/>
          <c:order val="0"/>
          <c:tx>
            <c:strRef>
              <c:f>C_Distributions!$B$51</c:f>
              <c:strCache>
                <c:ptCount val="1"/>
                <c:pt idx="0">
                  <c:v>Mean salary</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C_Distributions!$A$52:$A$55</c:f>
              <c:strCache>
                <c:ptCount val="4"/>
                <c:pt idx="0">
                  <c:v>Cyber Security</c:v>
                </c:pt>
                <c:pt idx="1">
                  <c:v>Data Science</c:v>
                </c:pt>
                <c:pt idx="2">
                  <c:v>UI/UX</c:v>
                </c:pt>
                <c:pt idx="3">
                  <c:v>Web Development</c:v>
                </c:pt>
              </c:strCache>
            </c:strRef>
          </c:cat>
          <c:val>
            <c:numRef>
              <c:f>C_Distributions!$B$52:$B$55</c:f>
              <c:numCache>
                <c:formatCode>0.0000</c:formatCode>
                <c:ptCount val="4"/>
                <c:pt idx="0">
                  <c:v>16.491935483870961</c:v>
                </c:pt>
                <c:pt idx="1">
                  <c:v>17.953684210526315</c:v>
                </c:pt>
                <c:pt idx="2">
                  <c:v>13.047272727272725</c:v>
                </c:pt>
                <c:pt idx="3">
                  <c:v>14.009090909090906</c:v>
                </c:pt>
              </c:numCache>
            </c:numRef>
          </c:val>
          <c:extLst>
            <c:ext xmlns:c16="http://schemas.microsoft.com/office/drawing/2014/chart" uri="{C3380CC4-5D6E-409C-BE32-E72D297353CC}">
              <c16:uniqueId val="{00000000-1255-42D6-B211-BE56C9279874}"/>
            </c:ext>
          </c:extLst>
        </c:ser>
        <c:ser>
          <c:idx val="1"/>
          <c:order val="1"/>
          <c:tx>
            <c:strRef>
              <c:f>C_Distributions!$C$51</c:f>
              <c:strCache>
                <c:ptCount val="1"/>
                <c:pt idx="0">
                  <c:v>Median salary</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C_Distributions!$A$52:$A$55</c:f>
              <c:strCache>
                <c:ptCount val="4"/>
                <c:pt idx="0">
                  <c:v>Cyber Security</c:v>
                </c:pt>
                <c:pt idx="1">
                  <c:v>Data Science</c:v>
                </c:pt>
                <c:pt idx="2">
                  <c:v>UI/UX</c:v>
                </c:pt>
                <c:pt idx="3">
                  <c:v>Web Development</c:v>
                </c:pt>
              </c:strCache>
            </c:strRef>
          </c:cat>
          <c:val>
            <c:numRef>
              <c:f>C_Distributions!$C$52:$C$55</c:f>
              <c:numCache>
                <c:formatCode>0.0000</c:formatCode>
                <c:ptCount val="4"/>
                <c:pt idx="0">
                  <c:v>15.45</c:v>
                </c:pt>
                <c:pt idx="1">
                  <c:v>16.899999999999999</c:v>
                </c:pt>
                <c:pt idx="2">
                  <c:v>12.4</c:v>
                </c:pt>
                <c:pt idx="3">
                  <c:v>13.45</c:v>
                </c:pt>
              </c:numCache>
            </c:numRef>
          </c:val>
          <c:extLst>
            <c:ext xmlns:c16="http://schemas.microsoft.com/office/drawing/2014/chart" uri="{C3380CC4-5D6E-409C-BE32-E72D297353CC}">
              <c16:uniqueId val="{00000001-1255-42D6-B211-BE56C9279874}"/>
            </c:ext>
          </c:extLst>
        </c:ser>
        <c:dLbls>
          <c:showLegendKey val="0"/>
          <c:showVal val="0"/>
          <c:showCatName val="0"/>
          <c:showSerName val="0"/>
          <c:showPercent val="0"/>
          <c:showBubbleSize val="0"/>
        </c:dLbls>
        <c:gapWidth val="150"/>
        <c:axId val="50089325"/>
        <c:axId val="82964064"/>
      </c:barChart>
      <c:catAx>
        <c:axId val="5008932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Track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964064"/>
        <c:crosses val="autoZero"/>
        <c:auto val="1"/>
        <c:lblAlgn val="ctr"/>
        <c:lblOffset val="100"/>
        <c:noMultiLvlLbl val="0"/>
      </c:catAx>
      <c:valAx>
        <c:axId val="8296406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Salary (k L.E.)</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0893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475920</xdr:colOff>
      <xdr:row>39</xdr:row>
      <xdr:rowOff>132840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781200</xdr:colOff>
      <xdr:row>26</xdr:row>
      <xdr:rowOff>0</xdr:rowOff>
    </xdr:from>
    <xdr:to>
      <xdr:col>6</xdr:col>
      <xdr:colOff>1009440</xdr:colOff>
      <xdr:row>39</xdr:row>
      <xdr:rowOff>114120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87480</xdr:rowOff>
    </xdr:from>
    <xdr:to>
      <xdr:col>5</xdr:col>
      <xdr:colOff>344160</xdr:colOff>
      <xdr:row>43</xdr:row>
      <xdr:rowOff>132840</xdr:rowOff>
    </xdr:to>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xdr:blipFill>
      <xdr:spPr>
        <a:xfrm>
          <a:off x="0" y="6802560"/>
          <a:ext cx="4714200" cy="4236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11</xdr:col>
      <xdr:colOff>277560</xdr:colOff>
      <xdr:row>18</xdr:row>
      <xdr:rowOff>104400</xdr:rowOff>
    </xdr:to>
    <xdr:graphicFrame macro="">
      <xdr:nvGraphicFramePr>
        <xdr:cNvPr id="3" name="Chart 1">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1200240</xdr:colOff>
      <xdr:row>20</xdr:row>
      <xdr:rowOff>0</xdr:rowOff>
    </xdr:from>
    <xdr:to>
      <xdr:col>20</xdr:col>
      <xdr:colOff>504720</xdr:colOff>
      <xdr:row>33</xdr:row>
      <xdr:rowOff>180720</xdr:rowOff>
    </xdr:to>
    <xdr:graphicFrame macro="">
      <xdr:nvGraphicFramePr>
        <xdr:cNvPr id="4" name="Chart 2">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1200240</xdr:colOff>
      <xdr:row>35</xdr:row>
      <xdr:rowOff>28440</xdr:rowOff>
    </xdr:from>
    <xdr:to>
      <xdr:col>12</xdr:col>
      <xdr:colOff>456840</xdr:colOff>
      <xdr:row>42</xdr:row>
      <xdr:rowOff>151920</xdr:rowOff>
    </xdr:to>
    <xdr:graphicFrame macro="">
      <xdr:nvGraphicFramePr>
        <xdr:cNvPr id="5" name="Chart 3">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533520</xdr:colOff>
      <xdr:row>44</xdr:row>
      <xdr:rowOff>80280</xdr:rowOff>
    </xdr:from>
    <xdr:to>
      <xdr:col>13</xdr:col>
      <xdr:colOff>428400</xdr:colOff>
      <xdr:row>59</xdr:row>
      <xdr:rowOff>18720</xdr:rowOff>
    </xdr:to>
    <xdr:graphicFrame macro="">
      <xdr:nvGraphicFramePr>
        <xdr:cNvPr id="6" name="Chart 4">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288720</xdr:colOff>
      <xdr:row>35</xdr:row>
      <xdr:rowOff>410400</xdr:rowOff>
    </xdr:from>
    <xdr:to>
      <xdr:col>10</xdr:col>
      <xdr:colOff>558720</xdr:colOff>
      <xdr:row>50</xdr:row>
      <xdr:rowOff>154440</xdr:rowOff>
    </xdr:to>
    <xdr:graphicFrame macro="">
      <xdr:nvGraphicFramePr>
        <xdr:cNvPr id="7" name="Chart 1">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95250</xdr:colOff>
      <xdr:row>36</xdr:row>
      <xdr:rowOff>287560</xdr:rowOff>
    </xdr:from>
    <xdr:to>
      <xdr:col>15</xdr:col>
      <xdr:colOff>459930</xdr:colOff>
      <xdr:row>51</xdr:row>
      <xdr:rowOff>80280</xdr:rowOff>
    </xdr:to>
    <xdr:graphicFrame macro="">
      <xdr:nvGraphicFramePr>
        <xdr:cNvPr id="8" name="Chart 1">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190440</xdr:rowOff>
    </xdr:from>
    <xdr:to>
      <xdr:col>4</xdr:col>
      <xdr:colOff>41400</xdr:colOff>
      <xdr:row>13</xdr:row>
      <xdr:rowOff>132120</xdr:rowOff>
    </xdr:to>
    <xdr:graphicFrame macro="">
      <xdr:nvGraphicFramePr>
        <xdr:cNvPr id="9" name="Chart 1">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101160</xdr:rowOff>
    </xdr:from>
    <xdr:to>
      <xdr:col>4</xdr:col>
      <xdr:colOff>41400</xdr:colOff>
      <xdr:row>28</xdr:row>
      <xdr:rowOff>22320</xdr:rowOff>
    </xdr:to>
    <xdr:graphicFrame macro="">
      <xdr:nvGraphicFramePr>
        <xdr:cNvPr id="10" name="Chart 2">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32</xdr:row>
      <xdr:rowOff>1080</xdr:rowOff>
    </xdr:from>
    <xdr:to>
      <xdr:col>4</xdr:col>
      <xdr:colOff>41400</xdr:colOff>
      <xdr:row>40</xdr:row>
      <xdr:rowOff>142920</xdr:rowOff>
    </xdr:to>
    <xdr:graphicFrame macro="">
      <xdr:nvGraphicFramePr>
        <xdr:cNvPr id="11" name="Chart 3">
          <a:extLst>
            <a:ext uri="{FF2B5EF4-FFF2-40B4-BE49-F238E27FC236}">
              <a16:creationId xmlns:a16="http://schemas.microsoft.com/office/drawing/2014/main" id="{00000000-0008-0000-0F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44</xdr:row>
      <xdr:rowOff>111960</xdr:rowOff>
    </xdr:from>
    <xdr:to>
      <xdr:col>4</xdr:col>
      <xdr:colOff>41400</xdr:colOff>
      <xdr:row>57</xdr:row>
      <xdr:rowOff>333720</xdr:rowOff>
    </xdr:to>
    <xdr:graphicFrame macro="">
      <xdr:nvGraphicFramePr>
        <xdr:cNvPr id="12" name="Chart 4">
          <a:extLst>
            <a:ext uri="{FF2B5EF4-FFF2-40B4-BE49-F238E27FC236}">
              <a16:creationId xmlns:a16="http://schemas.microsoft.com/office/drawing/2014/main" id="{00000000-0008-0000-0F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C8" totalsRowShown="0">
  <autoFilter ref="B4:C8" xr:uid="{00000000-0009-0000-0100-000001000000}"/>
  <tableColumns count="2">
    <tableColumn id="1" xr3:uid="{00000000-0010-0000-0000-000001000000}" name="Condition"/>
    <tableColumn id="2" xr3:uid="{00000000-0010-0000-0000-000002000000}" name="Does it hold here? Justif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54:B354" totalsRowShown="0">
  <autoFilter ref="B54:B354" xr:uid="{00000000-0009-0000-0100-000002000000}"/>
  <tableColumns count="1">
    <tableColumn id="1" xr3:uid="{00000000-0010-0000-0100-000001000000}" name="Prob_Zero_Offers"/>
  </tableColumns>
  <tableStyleInfo showFirstColumn="0" showLastColumn="0" showRowStripes="1" showColumnStripes="0"/>
</table>
</file>

<file path=xl/theme/theme1.xml><?xml version="1.0" encoding="utf-8"?>
<a:theme xmlns:a="http://schemas.openxmlformats.org/drawingml/2006/main" name="Office Theme">
  <a:themeElements>
    <a:clrScheme name="Blue II">
      <a:dk1>
        <a:srgbClr val="000000"/>
      </a:dk1>
      <a:lt1>
        <a:srgbClr val="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Normal="100" workbookViewId="0"/>
  </sheetViews>
  <sheetFormatPr defaultColWidth="8.6640625" defaultRowHeight="14.4" x14ac:dyDescent="0.3"/>
  <cols>
    <col min="1" max="1" width="100" style="15" customWidth="1"/>
  </cols>
  <sheetData>
    <row r="1" spans="1:1" ht="18" customHeight="1" x14ac:dyDescent="0.3">
      <c r="A1" s="16" t="s">
        <v>0</v>
      </c>
    </row>
    <row r="2" spans="1:1" ht="15" customHeight="1" x14ac:dyDescent="0.3">
      <c r="A2" s="17"/>
    </row>
    <row r="3" spans="1:1" ht="15" customHeight="1" x14ac:dyDescent="0.3">
      <c r="A3" s="17" t="s">
        <v>1</v>
      </c>
    </row>
    <row r="4" spans="1:1" ht="15" customHeight="1" x14ac:dyDescent="0.3">
      <c r="A4" s="17" t="s">
        <v>2</v>
      </c>
    </row>
    <row r="5" spans="1:1" ht="15" customHeight="1" x14ac:dyDescent="0.3">
      <c r="A5" s="17" t="s">
        <v>3</v>
      </c>
    </row>
    <row r="6" spans="1:1" ht="15" customHeight="1" x14ac:dyDescent="0.3">
      <c r="A6" s="17"/>
    </row>
    <row r="7" spans="1:1" ht="15" customHeight="1" x14ac:dyDescent="0.3">
      <c r="A7" s="18" t="s">
        <v>4</v>
      </c>
    </row>
    <row r="8" spans="1:1" ht="15" customHeight="1" x14ac:dyDescent="0.3">
      <c r="A8" s="17" t="s">
        <v>5</v>
      </c>
    </row>
    <row r="9" spans="1:1" ht="15" customHeight="1" x14ac:dyDescent="0.3">
      <c r="A9" s="17" t="s">
        <v>6</v>
      </c>
    </row>
    <row r="10" spans="1:1" ht="15" customHeight="1" x14ac:dyDescent="0.3">
      <c r="A10" s="17" t="s">
        <v>7</v>
      </c>
    </row>
    <row r="11" spans="1:1" ht="15" customHeight="1" x14ac:dyDescent="0.3">
      <c r="A11" s="17" t="s">
        <v>8</v>
      </c>
    </row>
    <row r="12" spans="1:1" ht="15" customHeight="1" x14ac:dyDescent="0.3">
      <c r="A12" s="17"/>
    </row>
    <row r="13" spans="1:1" ht="15" customHeight="1" x14ac:dyDescent="0.3">
      <c r="A13" s="18" t="s">
        <v>9</v>
      </c>
    </row>
    <row r="14" spans="1:1" ht="15" customHeight="1" x14ac:dyDescent="0.3">
      <c r="A14" s="17" t="s">
        <v>10</v>
      </c>
    </row>
    <row r="15" spans="1:1" ht="15" customHeight="1" x14ac:dyDescent="0.3">
      <c r="A15" s="17" t="s">
        <v>11</v>
      </c>
    </row>
    <row r="16" spans="1:1" ht="15" customHeight="1" x14ac:dyDescent="0.3">
      <c r="A16" s="17"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zoomScaleNormal="100" workbookViewId="0">
      <pane ySplit="1" topLeftCell="A2" activePane="bottomLeft" state="frozen"/>
      <selection pane="bottomLeft" activeCell="E1" sqref="E1"/>
    </sheetView>
  </sheetViews>
  <sheetFormatPr defaultColWidth="8.6640625" defaultRowHeight="14.4" x14ac:dyDescent="0.3"/>
  <cols>
    <col min="1" max="1" width="10" style="15" customWidth="1"/>
    <col min="2" max="2" width="18" style="15" customWidth="1"/>
    <col min="3" max="3" width="23.5546875" style="15" customWidth="1"/>
    <col min="4" max="4" width="18" style="15" customWidth="1"/>
    <col min="5" max="5" width="17.88671875" style="15" customWidth="1"/>
    <col min="6" max="6" width="16.6640625" style="15" customWidth="1"/>
    <col min="7" max="7" width="23.6640625" style="15" customWidth="1"/>
  </cols>
  <sheetData>
    <row r="1" spans="1:7" ht="15" customHeight="1" x14ac:dyDescent="0.3">
      <c r="A1" s="19" t="s">
        <v>13</v>
      </c>
      <c r="B1" s="19" t="s">
        <v>14</v>
      </c>
      <c r="C1" s="19" t="s">
        <v>15</v>
      </c>
      <c r="D1" s="19" t="s">
        <v>16</v>
      </c>
      <c r="E1" s="19" t="s">
        <v>17</v>
      </c>
      <c r="F1" s="19" t="s">
        <v>18</v>
      </c>
      <c r="G1" s="19" t="s">
        <v>19</v>
      </c>
    </row>
    <row r="2" spans="1:7" ht="15" customHeight="1" x14ac:dyDescent="0.3">
      <c r="A2" s="17" t="s">
        <v>20</v>
      </c>
      <c r="B2" s="17" t="s">
        <v>21</v>
      </c>
      <c r="C2" s="17">
        <v>73.2</v>
      </c>
      <c r="D2" s="17">
        <v>16.8</v>
      </c>
      <c r="E2" s="17">
        <v>7</v>
      </c>
      <c r="F2" s="17">
        <v>5</v>
      </c>
      <c r="G2" s="17">
        <v>69</v>
      </c>
    </row>
    <row r="3" spans="1:7" ht="15" customHeight="1" x14ac:dyDescent="0.3">
      <c r="A3" s="17" t="s">
        <v>22</v>
      </c>
      <c r="B3" s="17" t="s">
        <v>21</v>
      </c>
      <c r="C3" s="17">
        <v>77.5</v>
      </c>
      <c r="D3" s="17">
        <v>16.399999999999999</v>
      </c>
      <c r="E3" s="17">
        <v>6</v>
      </c>
      <c r="F3" s="17">
        <v>2</v>
      </c>
      <c r="G3" s="17">
        <v>43</v>
      </c>
    </row>
    <row r="4" spans="1:7" ht="15" customHeight="1" x14ac:dyDescent="0.3">
      <c r="A4" s="17" t="s">
        <v>23</v>
      </c>
      <c r="B4" s="17" t="s">
        <v>21</v>
      </c>
      <c r="C4" s="17">
        <v>88.9</v>
      </c>
      <c r="D4" s="17">
        <v>12.2</v>
      </c>
      <c r="E4" s="17">
        <v>7</v>
      </c>
      <c r="F4" s="17">
        <v>4</v>
      </c>
      <c r="G4" s="17">
        <v>23</v>
      </c>
    </row>
    <row r="5" spans="1:7" ht="15" customHeight="1" x14ac:dyDescent="0.3">
      <c r="A5" s="17" t="s">
        <v>24</v>
      </c>
      <c r="B5" s="17" t="s">
        <v>21</v>
      </c>
      <c r="C5" s="17">
        <v>74.900000000000006</v>
      </c>
      <c r="D5" s="17">
        <v>13.3</v>
      </c>
      <c r="E5" s="17">
        <v>6</v>
      </c>
      <c r="F5" s="17">
        <v>1</v>
      </c>
      <c r="G5" s="17">
        <v>174</v>
      </c>
    </row>
    <row r="6" spans="1:7" ht="15" customHeight="1" x14ac:dyDescent="0.3">
      <c r="A6" s="17" t="s">
        <v>25</v>
      </c>
      <c r="B6" s="17" t="s">
        <v>21</v>
      </c>
      <c r="C6" s="17">
        <v>93.4</v>
      </c>
      <c r="D6" s="17">
        <v>45.2</v>
      </c>
      <c r="E6" s="17">
        <v>5</v>
      </c>
      <c r="F6" s="17">
        <v>3</v>
      </c>
      <c r="G6" s="17">
        <v>59</v>
      </c>
    </row>
    <row r="7" spans="1:7" ht="15" customHeight="1" x14ac:dyDescent="0.3">
      <c r="A7" s="17" t="s">
        <v>26</v>
      </c>
      <c r="B7" s="17" t="s">
        <v>21</v>
      </c>
      <c r="C7" s="17">
        <v>74.7</v>
      </c>
      <c r="D7" s="17">
        <v>11.1</v>
      </c>
      <c r="E7" s="17">
        <v>4</v>
      </c>
      <c r="F7" s="17">
        <v>1</v>
      </c>
      <c r="G7" s="17">
        <v>58</v>
      </c>
    </row>
    <row r="8" spans="1:7" ht="15" customHeight="1" x14ac:dyDescent="0.3">
      <c r="A8" s="17" t="s">
        <v>27</v>
      </c>
      <c r="B8" s="17" t="s">
        <v>21</v>
      </c>
      <c r="C8" s="17">
        <v>79</v>
      </c>
      <c r="D8" s="17">
        <v>8.6</v>
      </c>
      <c r="E8" s="17">
        <v>2</v>
      </c>
      <c r="F8" s="17">
        <v>0</v>
      </c>
      <c r="G8" s="17">
        <v>66</v>
      </c>
    </row>
    <row r="9" spans="1:7" ht="15" customHeight="1" x14ac:dyDescent="0.3">
      <c r="A9" s="17" t="s">
        <v>28</v>
      </c>
      <c r="B9" s="17" t="s">
        <v>21</v>
      </c>
      <c r="C9" s="17">
        <v>74.099999999999994</v>
      </c>
      <c r="D9" s="17">
        <v>24</v>
      </c>
      <c r="E9" s="17">
        <v>2</v>
      </c>
      <c r="F9" s="17">
        <v>1</v>
      </c>
      <c r="G9" s="17">
        <v>29</v>
      </c>
    </row>
    <row r="10" spans="1:7" ht="15" customHeight="1" x14ac:dyDescent="0.3">
      <c r="A10" s="17" t="s">
        <v>29</v>
      </c>
      <c r="B10" s="17" t="s">
        <v>21</v>
      </c>
      <c r="C10" s="17">
        <v>80.8</v>
      </c>
      <c r="D10" s="17">
        <v>17.600000000000001</v>
      </c>
      <c r="E10" s="17">
        <v>9</v>
      </c>
      <c r="F10" s="17">
        <v>3</v>
      </c>
      <c r="G10" s="17">
        <v>36</v>
      </c>
    </row>
    <row r="11" spans="1:7" ht="15" customHeight="1" x14ac:dyDescent="0.3">
      <c r="A11" s="17" t="s">
        <v>30</v>
      </c>
      <c r="B11" s="17" t="s">
        <v>21</v>
      </c>
      <c r="C11" s="17">
        <v>71.599999999999994</v>
      </c>
      <c r="D11" s="17">
        <v>10.9</v>
      </c>
      <c r="E11" s="17">
        <v>6</v>
      </c>
      <c r="F11" s="17">
        <v>1</v>
      </c>
      <c r="G11" s="17">
        <v>67</v>
      </c>
    </row>
    <row r="12" spans="1:7" ht="15" customHeight="1" x14ac:dyDescent="0.3">
      <c r="A12" s="17" t="s">
        <v>31</v>
      </c>
      <c r="B12" s="17" t="s">
        <v>21</v>
      </c>
      <c r="C12" s="17">
        <v>73.2</v>
      </c>
      <c r="D12" s="17">
        <v>7.1</v>
      </c>
      <c r="E12" s="17">
        <v>6</v>
      </c>
      <c r="F12" s="17">
        <v>2</v>
      </c>
      <c r="G12" s="17">
        <v>100</v>
      </c>
    </row>
    <row r="13" spans="1:7" ht="15" customHeight="1" x14ac:dyDescent="0.3">
      <c r="A13" s="17" t="s">
        <v>32</v>
      </c>
      <c r="B13" s="17" t="s">
        <v>21</v>
      </c>
      <c r="C13" s="17">
        <v>73.900000000000006</v>
      </c>
      <c r="D13" s="17">
        <v>22.1</v>
      </c>
      <c r="E13" s="17">
        <v>10</v>
      </c>
      <c r="F13" s="17">
        <v>2</v>
      </c>
      <c r="G13" s="17">
        <v>85</v>
      </c>
    </row>
    <row r="14" spans="1:7" ht="15" customHeight="1" x14ac:dyDescent="0.3">
      <c r="A14" s="17" t="s">
        <v>33</v>
      </c>
      <c r="B14" s="17" t="s">
        <v>21</v>
      </c>
      <c r="C14" s="17">
        <v>72.099999999999994</v>
      </c>
      <c r="D14" s="17">
        <v>6.7</v>
      </c>
      <c r="E14" s="17">
        <v>4</v>
      </c>
      <c r="F14" s="17">
        <v>2</v>
      </c>
      <c r="G14" s="17">
        <v>126</v>
      </c>
    </row>
    <row r="15" spans="1:7" ht="15" customHeight="1" x14ac:dyDescent="0.3">
      <c r="A15" s="17" t="s">
        <v>34</v>
      </c>
      <c r="B15" s="17" t="s">
        <v>21</v>
      </c>
      <c r="C15" s="17">
        <v>77.8</v>
      </c>
      <c r="D15" s="17">
        <v>16.5</v>
      </c>
      <c r="E15" s="17">
        <v>5</v>
      </c>
      <c r="F15" s="17">
        <v>3</v>
      </c>
      <c r="G15" s="17">
        <v>4</v>
      </c>
    </row>
    <row r="16" spans="1:7" ht="15" customHeight="1" x14ac:dyDescent="0.3">
      <c r="A16" s="17" t="s">
        <v>35</v>
      </c>
      <c r="B16" s="17" t="s">
        <v>21</v>
      </c>
      <c r="C16" s="17">
        <v>82.5</v>
      </c>
      <c r="D16" s="17">
        <v>19.100000000000001</v>
      </c>
      <c r="E16" s="17">
        <v>3</v>
      </c>
      <c r="F16" s="17">
        <v>1</v>
      </c>
      <c r="G16" s="17">
        <v>82</v>
      </c>
    </row>
    <row r="17" spans="1:7" ht="15" customHeight="1" x14ac:dyDescent="0.3">
      <c r="A17" s="17" t="s">
        <v>36</v>
      </c>
      <c r="B17" s="17" t="s">
        <v>21</v>
      </c>
      <c r="C17" s="17">
        <v>72.7</v>
      </c>
      <c r="D17" s="17">
        <v>24.9</v>
      </c>
      <c r="E17" s="17">
        <v>8</v>
      </c>
      <c r="F17" s="17">
        <v>4</v>
      </c>
      <c r="G17" s="17">
        <v>101</v>
      </c>
    </row>
    <row r="18" spans="1:7" ht="15" customHeight="1" x14ac:dyDescent="0.3">
      <c r="A18" s="17" t="s">
        <v>37</v>
      </c>
      <c r="B18" s="17" t="s">
        <v>21</v>
      </c>
      <c r="C18" s="17">
        <v>84.4</v>
      </c>
      <c r="D18" s="17">
        <v>12.1</v>
      </c>
      <c r="E18" s="17">
        <v>7</v>
      </c>
      <c r="F18" s="17">
        <v>2</v>
      </c>
      <c r="G18" s="17">
        <v>71</v>
      </c>
    </row>
    <row r="19" spans="1:7" ht="15" customHeight="1" x14ac:dyDescent="0.3">
      <c r="A19" s="17" t="s">
        <v>38</v>
      </c>
      <c r="B19" s="17" t="s">
        <v>21</v>
      </c>
      <c r="C19" s="17">
        <v>75.8</v>
      </c>
      <c r="D19" s="17">
        <v>20.2</v>
      </c>
      <c r="E19" s="17">
        <v>6</v>
      </c>
      <c r="F19" s="17">
        <v>2</v>
      </c>
      <c r="G19" s="17">
        <v>54</v>
      </c>
    </row>
    <row r="20" spans="1:7" ht="15" customHeight="1" x14ac:dyDescent="0.3">
      <c r="A20" s="17" t="s">
        <v>39</v>
      </c>
      <c r="B20" s="17" t="s">
        <v>21</v>
      </c>
      <c r="C20" s="17">
        <v>78.2</v>
      </c>
      <c r="D20" s="17">
        <v>16.399999999999999</v>
      </c>
      <c r="E20" s="17">
        <v>7</v>
      </c>
      <c r="F20" s="17">
        <v>2</v>
      </c>
      <c r="G20" s="17">
        <v>19</v>
      </c>
    </row>
    <row r="21" spans="1:7" ht="15" customHeight="1" x14ac:dyDescent="0.3">
      <c r="A21" s="17" t="s">
        <v>40</v>
      </c>
      <c r="B21" s="17" t="s">
        <v>21</v>
      </c>
      <c r="C21" s="17">
        <v>73.900000000000006</v>
      </c>
      <c r="D21" s="17">
        <v>15.8</v>
      </c>
      <c r="E21" s="17">
        <v>1</v>
      </c>
      <c r="F21" s="17">
        <v>1</v>
      </c>
      <c r="G21" s="17">
        <v>11</v>
      </c>
    </row>
    <row r="22" spans="1:7" ht="15" customHeight="1" x14ac:dyDescent="0.3">
      <c r="A22" s="17" t="s">
        <v>41</v>
      </c>
      <c r="B22" s="17" t="s">
        <v>21</v>
      </c>
      <c r="C22" s="17">
        <v>68.8</v>
      </c>
      <c r="D22" s="17">
        <v>12.6</v>
      </c>
      <c r="E22" s="17">
        <v>8</v>
      </c>
      <c r="F22" s="17">
        <v>3</v>
      </c>
      <c r="G22" s="17">
        <v>125</v>
      </c>
    </row>
    <row r="23" spans="1:7" ht="15" customHeight="1" x14ac:dyDescent="0.3">
      <c r="A23" s="17" t="s">
        <v>42</v>
      </c>
      <c r="B23" s="17" t="s">
        <v>21</v>
      </c>
      <c r="C23" s="17">
        <v>90.5</v>
      </c>
      <c r="D23" s="17">
        <v>10.199999999999999</v>
      </c>
      <c r="E23" s="17">
        <v>5</v>
      </c>
      <c r="F23" s="17">
        <v>3</v>
      </c>
      <c r="G23" s="17">
        <v>18</v>
      </c>
    </row>
    <row r="24" spans="1:7" ht="15" customHeight="1" x14ac:dyDescent="0.3">
      <c r="A24" s="17" t="s">
        <v>43</v>
      </c>
      <c r="B24" s="17" t="s">
        <v>21</v>
      </c>
      <c r="C24" s="17">
        <v>82.2</v>
      </c>
      <c r="D24" s="17">
        <v>15.1</v>
      </c>
      <c r="E24" s="17">
        <v>5</v>
      </c>
      <c r="F24" s="17">
        <v>3</v>
      </c>
      <c r="G24" s="17">
        <v>54</v>
      </c>
    </row>
    <row r="25" spans="1:7" ht="15" customHeight="1" x14ac:dyDescent="0.3">
      <c r="A25" s="17" t="s">
        <v>44</v>
      </c>
      <c r="B25" s="17" t="s">
        <v>21</v>
      </c>
      <c r="C25" s="17">
        <v>83</v>
      </c>
      <c r="D25" s="17">
        <v>32.6</v>
      </c>
      <c r="E25" s="17">
        <v>2</v>
      </c>
      <c r="F25" s="17">
        <v>0</v>
      </c>
      <c r="G25" s="17">
        <v>8</v>
      </c>
    </row>
    <row r="26" spans="1:7" ht="15" customHeight="1" x14ac:dyDescent="0.3">
      <c r="A26" s="17" t="s">
        <v>45</v>
      </c>
      <c r="B26" s="17" t="s">
        <v>21</v>
      </c>
      <c r="C26" s="17">
        <v>78.5</v>
      </c>
      <c r="D26" s="17">
        <v>12.3</v>
      </c>
      <c r="E26" s="17">
        <v>9</v>
      </c>
      <c r="F26" s="17">
        <v>5</v>
      </c>
      <c r="G26" s="17">
        <v>91</v>
      </c>
    </row>
    <row r="27" spans="1:7" ht="15" customHeight="1" x14ac:dyDescent="0.3">
      <c r="A27" s="17" t="s">
        <v>46</v>
      </c>
      <c r="B27" s="17" t="s">
        <v>21</v>
      </c>
      <c r="C27" s="17">
        <v>84.8</v>
      </c>
      <c r="D27" s="17">
        <v>25.6</v>
      </c>
      <c r="E27" s="17">
        <v>5</v>
      </c>
      <c r="F27" s="17">
        <v>2</v>
      </c>
      <c r="G27" s="17">
        <v>16</v>
      </c>
    </row>
    <row r="28" spans="1:7" ht="15" customHeight="1" x14ac:dyDescent="0.3">
      <c r="A28" s="17" t="s">
        <v>47</v>
      </c>
      <c r="B28" s="17" t="s">
        <v>21</v>
      </c>
      <c r="C28" s="17">
        <v>74.099999999999994</v>
      </c>
      <c r="D28" s="17">
        <v>17.100000000000001</v>
      </c>
      <c r="E28" s="17">
        <v>3</v>
      </c>
      <c r="F28" s="17">
        <v>1</v>
      </c>
      <c r="G28" s="17">
        <v>58</v>
      </c>
    </row>
    <row r="29" spans="1:7" ht="15" customHeight="1" x14ac:dyDescent="0.3">
      <c r="A29" s="17" t="s">
        <v>48</v>
      </c>
      <c r="B29" s="17" t="s">
        <v>21</v>
      </c>
      <c r="C29" s="17">
        <v>82.8</v>
      </c>
      <c r="D29" s="17">
        <v>17</v>
      </c>
      <c r="E29" s="17">
        <v>3</v>
      </c>
      <c r="F29" s="17">
        <v>2</v>
      </c>
      <c r="G29" s="17">
        <v>50</v>
      </c>
    </row>
    <row r="30" spans="1:7" ht="15" customHeight="1" x14ac:dyDescent="0.3">
      <c r="A30" s="17" t="s">
        <v>49</v>
      </c>
      <c r="B30" s="17" t="s">
        <v>21</v>
      </c>
      <c r="C30" s="17">
        <v>77.3</v>
      </c>
      <c r="D30" s="17">
        <v>8.5</v>
      </c>
      <c r="E30" s="17">
        <v>9</v>
      </c>
      <c r="F30" s="17">
        <v>4</v>
      </c>
      <c r="G30" s="17">
        <v>30</v>
      </c>
    </row>
    <row r="31" spans="1:7" ht="15" customHeight="1" x14ac:dyDescent="0.3">
      <c r="A31" s="17" t="s">
        <v>50</v>
      </c>
      <c r="B31" s="17" t="s">
        <v>21</v>
      </c>
      <c r="C31" s="17">
        <v>77.2</v>
      </c>
      <c r="D31" s="17">
        <v>17.100000000000001</v>
      </c>
      <c r="E31" s="17">
        <v>6</v>
      </c>
      <c r="F31" s="17">
        <v>1</v>
      </c>
      <c r="G31" s="17">
        <v>66</v>
      </c>
    </row>
    <row r="32" spans="1:7" ht="15" customHeight="1" x14ac:dyDescent="0.3">
      <c r="A32" s="17" t="s">
        <v>51</v>
      </c>
      <c r="B32" s="17" t="s">
        <v>21</v>
      </c>
      <c r="C32" s="17">
        <v>71.3</v>
      </c>
      <c r="D32" s="17">
        <v>10.1</v>
      </c>
      <c r="E32" s="17">
        <v>3</v>
      </c>
      <c r="F32" s="17">
        <v>1</v>
      </c>
      <c r="G32" s="17">
        <v>35</v>
      </c>
    </row>
    <row r="33" spans="1:7" ht="15" customHeight="1" x14ac:dyDescent="0.3">
      <c r="A33" s="17" t="s">
        <v>52</v>
      </c>
      <c r="B33" s="17" t="s">
        <v>21</v>
      </c>
      <c r="C33" s="17">
        <v>80.7</v>
      </c>
      <c r="D33" s="17">
        <v>17.899999999999999</v>
      </c>
      <c r="E33" s="17">
        <v>7</v>
      </c>
      <c r="F33" s="17">
        <v>2</v>
      </c>
      <c r="G33" s="17">
        <v>80</v>
      </c>
    </row>
    <row r="34" spans="1:7" ht="15" customHeight="1" x14ac:dyDescent="0.3">
      <c r="A34" s="17" t="s">
        <v>53</v>
      </c>
      <c r="B34" s="17" t="s">
        <v>21</v>
      </c>
      <c r="C34" s="17">
        <v>89.1</v>
      </c>
      <c r="D34" s="17">
        <v>10.7</v>
      </c>
      <c r="E34" s="17">
        <v>5</v>
      </c>
      <c r="F34" s="17">
        <v>2</v>
      </c>
      <c r="G34" s="17">
        <v>95</v>
      </c>
    </row>
    <row r="35" spans="1:7" ht="15" customHeight="1" x14ac:dyDescent="0.3">
      <c r="A35" s="17" t="s">
        <v>54</v>
      </c>
      <c r="B35" s="17" t="s">
        <v>21</v>
      </c>
      <c r="C35" s="17">
        <v>74.400000000000006</v>
      </c>
      <c r="D35" s="17">
        <v>18.399999999999999</v>
      </c>
      <c r="E35" s="17">
        <v>6</v>
      </c>
      <c r="F35" s="17">
        <v>2</v>
      </c>
      <c r="G35" s="17">
        <v>40</v>
      </c>
    </row>
    <row r="36" spans="1:7" ht="15" customHeight="1" x14ac:dyDescent="0.3">
      <c r="A36" s="17" t="s">
        <v>55</v>
      </c>
      <c r="B36" s="17" t="s">
        <v>21</v>
      </c>
      <c r="C36" s="17">
        <v>80.599999999999994</v>
      </c>
      <c r="D36" s="17">
        <v>21</v>
      </c>
      <c r="E36" s="17">
        <v>5</v>
      </c>
      <c r="F36" s="17">
        <v>0</v>
      </c>
      <c r="G36" s="17">
        <v>40</v>
      </c>
    </row>
    <row r="37" spans="1:7" ht="15" customHeight="1" x14ac:dyDescent="0.3">
      <c r="A37" s="17" t="s">
        <v>56</v>
      </c>
      <c r="B37" s="17" t="s">
        <v>21</v>
      </c>
      <c r="C37" s="17">
        <v>81.7</v>
      </c>
      <c r="D37" s="17">
        <v>24.4</v>
      </c>
      <c r="E37" s="17">
        <v>6</v>
      </c>
      <c r="F37" s="17">
        <v>3</v>
      </c>
      <c r="G37" s="17">
        <v>22</v>
      </c>
    </row>
    <row r="38" spans="1:7" ht="15" customHeight="1" x14ac:dyDescent="0.3">
      <c r="A38" s="17" t="s">
        <v>57</v>
      </c>
      <c r="B38" s="17" t="s">
        <v>21</v>
      </c>
      <c r="C38" s="17">
        <v>71.3</v>
      </c>
      <c r="D38" s="17">
        <v>16.100000000000001</v>
      </c>
      <c r="E38" s="17">
        <v>6</v>
      </c>
      <c r="F38" s="17">
        <v>4</v>
      </c>
      <c r="G38" s="17">
        <v>45</v>
      </c>
    </row>
    <row r="39" spans="1:7" ht="15" customHeight="1" x14ac:dyDescent="0.3">
      <c r="A39" s="17" t="s">
        <v>58</v>
      </c>
      <c r="B39" s="17" t="s">
        <v>21</v>
      </c>
      <c r="C39" s="17">
        <v>75.900000000000006</v>
      </c>
      <c r="D39" s="17">
        <v>24.2</v>
      </c>
      <c r="E39" s="17">
        <v>4</v>
      </c>
      <c r="F39" s="17">
        <v>1</v>
      </c>
      <c r="G39" s="17">
        <v>80</v>
      </c>
    </row>
    <row r="40" spans="1:7" ht="15" customHeight="1" x14ac:dyDescent="0.3">
      <c r="A40" s="17" t="s">
        <v>59</v>
      </c>
      <c r="B40" s="17" t="s">
        <v>21</v>
      </c>
      <c r="C40" s="17">
        <v>86.7</v>
      </c>
      <c r="D40" s="17">
        <v>21.6</v>
      </c>
      <c r="E40" s="17">
        <v>5</v>
      </c>
      <c r="F40" s="17">
        <v>2</v>
      </c>
      <c r="G40" s="17">
        <v>121</v>
      </c>
    </row>
    <row r="41" spans="1:7" ht="15" customHeight="1" x14ac:dyDescent="0.3">
      <c r="A41" s="17" t="s">
        <v>60</v>
      </c>
      <c r="B41" s="17" t="s">
        <v>21</v>
      </c>
      <c r="C41" s="17">
        <v>72.599999999999994</v>
      </c>
      <c r="D41" s="17">
        <v>17.600000000000001</v>
      </c>
      <c r="E41" s="17">
        <v>5</v>
      </c>
      <c r="F41" s="17">
        <v>3</v>
      </c>
      <c r="G41" s="17">
        <v>67</v>
      </c>
    </row>
    <row r="42" spans="1:7" ht="15" customHeight="1" x14ac:dyDescent="0.3">
      <c r="A42" s="17" t="s">
        <v>61</v>
      </c>
      <c r="B42" s="17" t="s">
        <v>21</v>
      </c>
      <c r="C42" s="17">
        <v>76.8</v>
      </c>
      <c r="D42" s="17">
        <v>9.4</v>
      </c>
      <c r="E42" s="17">
        <v>3</v>
      </c>
      <c r="F42" s="17">
        <v>1</v>
      </c>
      <c r="G42" s="17">
        <v>42</v>
      </c>
    </row>
    <row r="43" spans="1:7" ht="15" customHeight="1" x14ac:dyDescent="0.3">
      <c r="A43" s="17" t="s">
        <v>62</v>
      </c>
      <c r="B43" s="17" t="s">
        <v>21</v>
      </c>
      <c r="C43" s="17">
        <v>72.099999999999994</v>
      </c>
      <c r="D43" s="17">
        <v>15.5</v>
      </c>
      <c r="E43" s="17">
        <v>7</v>
      </c>
      <c r="F43" s="17">
        <v>1</v>
      </c>
      <c r="G43" s="17">
        <v>7</v>
      </c>
    </row>
    <row r="44" spans="1:7" ht="15" customHeight="1" x14ac:dyDescent="0.3">
      <c r="A44" s="17" t="s">
        <v>63</v>
      </c>
      <c r="B44" s="17" t="s">
        <v>21</v>
      </c>
      <c r="C44" s="17">
        <v>86.9</v>
      </c>
      <c r="D44" s="17">
        <v>16.5</v>
      </c>
      <c r="E44" s="17">
        <v>9</v>
      </c>
      <c r="F44" s="17">
        <v>2</v>
      </c>
      <c r="G44" s="17">
        <v>19</v>
      </c>
    </row>
    <row r="45" spans="1:7" ht="15" customHeight="1" x14ac:dyDescent="0.3">
      <c r="A45" s="17" t="s">
        <v>64</v>
      </c>
      <c r="B45" s="17" t="s">
        <v>21</v>
      </c>
      <c r="C45" s="17">
        <v>69.5</v>
      </c>
      <c r="D45" s="17">
        <v>16.399999999999999</v>
      </c>
      <c r="E45" s="17">
        <v>4</v>
      </c>
      <c r="F45" s="17">
        <v>0</v>
      </c>
      <c r="G45" s="17">
        <v>26</v>
      </c>
    </row>
    <row r="46" spans="1:7" ht="15" customHeight="1" x14ac:dyDescent="0.3">
      <c r="A46" s="17" t="s">
        <v>65</v>
      </c>
      <c r="B46" s="17" t="s">
        <v>21</v>
      </c>
      <c r="C46" s="17">
        <v>81</v>
      </c>
      <c r="D46" s="17">
        <v>11.6</v>
      </c>
      <c r="E46" s="17">
        <v>7</v>
      </c>
      <c r="F46" s="17">
        <v>3</v>
      </c>
      <c r="G46" s="17">
        <v>78</v>
      </c>
    </row>
    <row r="47" spans="1:7" ht="15" customHeight="1" x14ac:dyDescent="0.3">
      <c r="A47" s="17" t="s">
        <v>66</v>
      </c>
      <c r="B47" s="17" t="s">
        <v>21</v>
      </c>
      <c r="C47" s="17">
        <v>71.2</v>
      </c>
      <c r="D47" s="17">
        <v>11.2</v>
      </c>
      <c r="E47" s="17">
        <v>10</v>
      </c>
      <c r="F47" s="17">
        <v>3</v>
      </c>
      <c r="G47" s="17">
        <v>19</v>
      </c>
    </row>
    <row r="48" spans="1:7" ht="15" customHeight="1" x14ac:dyDescent="0.3">
      <c r="A48" s="17" t="s">
        <v>67</v>
      </c>
      <c r="B48" s="17" t="s">
        <v>21</v>
      </c>
      <c r="C48" s="17">
        <v>84.9</v>
      </c>
      <c r="D48" s="17">
        <v>14.3</v>
      </c>
      <c r="E48" s="17">
        <v>6</v>
      </c>
      <c r="F48" s="17">
        <v>2</v>
      </c>
      <c r="G48" s="17">
        <v>147</v>
      </c>
    </row>
    <row r="49" spans="1:7" ht="15" customHeight="1" x14ac:dyDescent="0.3">
      <c r="A49" s="17" t="s">
        <v>68</v>
      </c>
      <c r="B49" s="17" t="s">
        <v>21</v>
      </c>
      <c r="C49" s="17">
        <v>86.4</v>
      </c>
      <c r="D49" s="17">
        <v>20.9</v>
      </c>
      <c r="E49" s="17">
        <v>9</v>
      </c>
      <c r="F49" s="17">
        <v>4</v>
      </c>
      <c r="G49" s="17">
        <v>88</v>
      </c>
    </row>
    <row r="50" spans="1:7" ht="15" customHeight="1" x14ac:dyDescent="0.3">
      <c r="A50" s="17" t="s">
        <v>69</v>
      </c>
      <c r="B50" s="17" t="s">
        <v>21</v>
      </c>
      <c r="C50" s="17">
        <v>79.400000000000006</v>
      </c>
      <c r="D50" s="17">
        <v>20.6</v>
      </c>
      <c r="E50" s="17">
        <v>8</v>
      </c>
      <c r="F50" s="17">
        <v>1</v>
      </c>
      <c r="G50" s="17">
        <v>28</v>
      </c>
    </row>
    <row r="51" spans="1:7" ht="15" customHeight="1" x14ac:dyDescent="0.3">
      <c r="A51" s="17" t="s">
        <v>70</v>
      </c>
      <c r="B51" s="17" t="s">
        <v>21</v>
      </c>
      <c r="C51" s="17">
        <v>78.3</v>
      </c>
      <c r="D51" s="17">
        <v>42.5</v>
      </c>
      <c r="E51" s="17">
        <v>5</v>
      </c>
      <c r="F51" s="17">
        <v>2</v>
      </c>
      <c r="G51" s="17">
        <v>99</v>
      </c>
    </row>
    <row r="52" spans="1:7" ht="15" customHeight="1" x14ac:dyDescent="0.3">
      <c r="A52" s="17" t="s">
        <v>71</v>
      </c>
      <c r="B52" s="17" t="s">
        <v>21</v>
      </c>
      <c r="C52" s="17">
        <v>84.3</v>
      </c>
      <c r="D52" s="17">
        <v>17.100000000000001</v>
      </c>
      <c r="E52" s="17">
        <v>4</v>
      </c>
      <c r="F52" s="17">
        <v>1</v>
      </c>
      <c r="G52" s="17">
        <v>47</v>
      </c>
    </row>
    <row r="53" spans="1:7" ht="15" customHeight="1" x14ac:dyDescent="0.3">
      <c r="A53" s="17" t="s">
        <v>72</v>
      </c>
      <c r="B53" s="17" t="s">
        <v>21</v>
      </c>
      <c r="C53" s="17">
        <v>76.099999999999994</v>
      </c>
      <c r="D53" s="17">
        <v>20.399999999999999</v>
      </c>
      <c r="E53" s="17">
        <v>6</v>
      </c>
      <c r="F53" s="17">
        <v>3</v>
      </c>
      <c r="G53" s="17">
        <v>27</v>
      </c>
    </row>
    <row r="54" spans="1:7" ht="15" customHeight="1" x14ac:dyDescent="0.3">
      <c r="A54" s="17" t="s">
        <v>73</v>
      </c>
      <c r="B54" s="17" t="s">
        <v>21</v>
      </c>
      <c r="C54" s="17">
        <v>84.7</v>
      </c>
      <c r="D54" s="17">
        <v>23</v>
      </c>
      <c r="E54" s="17">
        <v>6</v>
      </c>
      <c r="F54" s="17">
        <v>3</v>
      </c>
      <c r="G54" s="17">
        <v>116</v>
      </c>
    </row>
    <row r="55" spans="1:7" ht="15" customHeight="1" x14ac:dyDescent="0.3">
      <c r="A55" s="17" t="s">
        <v>74</v>
      </c>
      <c r="B55" s="17" t="s">
        <v>21</v>
      </c>
      <c r="C55" s="17">
        <v>77.3</v>
      </c>
      <c r="D55" s="17">
        <v>19.8</v>
      </c>
      <c r="E55" s="17">
        <v>9</v>
      </c>
      <c r="F55" s="17">
        <v>2</v>
      </c>
      <c r="G55" s="17">
        <v>35</v>
      </c>
    </row>
    <row r="56" spans="1:7" ht="15" customHeight="1" x14ac:dyDescent="0.3">
      <c r="A56" s="17" t="s">
        <v>75</v>
      </c>
      <c r="B56" s="17" t="s">
        <v>21</v>
      </c>
      <c r="C56" s="17">
        <v>85.3</v>
      </c>
      <c r="D56" s="17">
        <v>19.399999999999999</v>
      </c>
      <c r="E56" s="17">
        <v>6</v>
      </c>
      <c r="F56" s="17">
        <v>4</v>
      </c>
      <c r="G56" s="17">
        <v>49</v>
      </c>
    </row>
    <row r="57" spans="1:7" ht="15" customHeight="1" x14ac:dyDescent="0.3">
      <c r="A57" s="17" t="s">
        <v>76</v>
      </c>
      <c r="B57" s="17" t="s">
        <v>21</v>
      </c>
      <c r="C57" s="17">
        <v>81.2</v>
      </c>
      <c r="D57" s="17">
        <v>21.8</v>
      </c>
      <c r="E57" s="17">
        <v>9</v>
      </c>
      <c r="F57" s="17">
        <v>2</v>
      </c>
      <c r="G57" s="17">
        <v>55</v>
      </c>
    </row>
    <row r="58" spans="1:7" ht="15" customHeight="1" x14ac:dyDescent="0.3">
      <c r="A58" s="17" t="s">
        <v>77</v>
      </c>
      <c r="B58" s="17" t="s">
        <v>21</v>
      </c>
      <c r="C58" s="17">
        <v>76.900000000000006</v>
      </c>
      <c r="D58" s="17">
        <v>13</v>
      </c>
      <c r="E58" s="17">
        <v>2</v>
      </c>
      <c r="F58" s="17">
        <v>0</v>
      </c>
      <c r="G58" s="17">
        <v>25</v>
      </c>
    </row>
    <row r="59" spans="1:7" ht="15" customHeight="1" x14ac:dyDescent="0.3">
      <c r="A59" s="17" t="s">
        <v>78</v>
      </c>
      <c r="B59" s="17" t="s">
        <v>21</v>
      </c>
      <c r="C59" s="17">
        <v>60.7</v>
      </c>
      <c r="D59" s="17">
        <v>16.5</v>
      </c>
      <c r="E59" s="17">
        <v>8</v>
      </c>
      <c r="F59" s="17">
        <v>4</v>
      </c>
      <c r="G59" s="17">
        <v>100</v>
      </c>
    </row>
    <row r="60" spans="1:7" ht="15" customHeight="1" x14ac:dyDescent="0.3">
      <c r="A60" s="17" t="s">
        <v>79</v>
      </c>
      <c r="B60" s="17" t="s">
        <v>21</v>
      </c>
      <c r="C60" s="17">
        <v>72.5</v>
      </c>
      <c r="D60" s="17">
        <v>14.7</v>
      </c>
      <c r="E60" s="17">
        <v>4</v>
      </c>
      <c r="F60" s="17">
        <v>3</v>
      </c>
      <c r="G60" s="17">
        <v>11</v>
      </c>
    </row>
    <row r="61" spans="1:7" ht="15" customHeight="1" x14ac:dyDescent="0.3">
      <c r="A61" s="17" t="s">
        <v>80</v>
      </c>
      <c r="B61" s="17" t="s">
        <v>21</v>
      </c>
      <c r="C61" s="17">
        <v>78</v>
      </c>
      <c r="D61" s="17">
        <v>14</v>
      </c>
      <c r="E61" s="17">
        <v>5</v>
      </c>
      <c r="F61" s="17">
        <v>3</v>
      </c>
      <c r="G61" s="17">
        <v>58</v>
      </c>
    </row>
    <row r="62" spans="1:7" ht="15" customHeight="1" x14ac:dyDescent="0.3">
      <c r="A62" s="17" t="s">
        <v>81</v>
      </c>
      <c r="B62" s="17" t="s">
        <v>21</v>
      </c>
      <c r="C62" s="17">
        <v>77.2</v>
      </c>
      <c r="D62" s="17">
        <v>17.7</v>
      </c>
      <c r="E62" s="17">
        <v>12</v>
      </c>
      <c r="F62" s="17">
        <v>5</v>
      </c>
      <c r="G62" s="17">
        <v>5</v>
      </c>
    </row>
    <row r="63" spans="1:7" ht="15" customHeight="1" x14ac:dyDescent="0.3">
      <c r="A63" s="17" t="s">
        <v>82</v>
      </c>
      <c r="B63" s="17" t="s">
        <v>21</v>
      </c>
      <c r="C63" s="17">
        <v>74.7</v>
      </c>
      <c r="D63" s="17">
        <v>18.5</v>
      </c>
      <c r="E63" s="17">
        <v>6</v>
      </c>
      <c r="F63" s="17">
        <v>2</v>
      </c>
      <c r="G63" s="17">
        <v>36</v>
      </c>
    </row>
    <row r="64" spans="1:7" ht="15" customHeight="1" x14ac:dyDescent="0.3">
      <c r="A64" s="17" t="s">
        <v>83</v>
      </c>
      <c r="B64" s="17" t="s">
        <v>21</v>
      </c>
      <c r="C64" s="17">
        <v>72.900000000000006</v>
      </c>
      <c r="D64" s="17">
        <v>16.600000000000001</v>
      </c>
      <c r="E64" s="17">
        <v>5</v>
      </c>
      <c r="F64" s="17">
        <v>0</v>
      </c>
      <c r="G64" s="17">
        <v>27</v>
      </c>
    </row>
    <row r="65" spans="1:7" ht="15" customHeight="1" x14ac:dyDescent="0.3">
      <c r="A65" s="17" t="s">
        <v>84</v>
      </c>
      <c r="B65" s="17" t="s">
        <v>21</v>
      </c>
      <c r="C65" s="17">
        <v>78.400000000000006</v>
      </c>
      <c r="D65" s="17">
        <v>15.3</v>
      </c>
      <c r="E65" s="17">
        <v>8</v>
      </c>
      <c r="F65" s="17">
        <v>3</v>
      </c>
      <c r="G65" s="17">
        <v>62</v>
      </c>
    </row>
    <row r="66" spans="1:7" ht="15" customHeight="1" x14ac:dyDescent="0.3">
      <c r="A66" s="17" t="s">
        <v>85</v>
      </c>
      <c r="B66" s="17" t="s">
        <v>21</v>
      </c>
      <c r="C66" s="17">
        <v>71.8</v>
      </c>
      <c r="D66" s="17">
        <v>23.9</v>
      </c>
      <c r="E66" s="17">
        <v>10</v>
      </c>
      <c r="F66" s="17">
        <v>5</v>
      </c>
      <c r="G66" s="17">
        <v>19</v>
      </c>
    </row>
    <row r="67" spans="1:7" ht="15" customHeight="1" x14ac:dyDescent="0.3">
      <c r="A67" s="17" t="s">
        <v>86</v>
      </c>
      <c r="B67" s="17" t="s">
        <v>21</v>
      </c>
      <c r="C67" s="17">
        <v>76.599999999999994</v>
      </c>
      <c r="D67" s="17">
        <v>15.1</v>
      </c>
      <c r="E67" s="17">
        <v>3</v>
      </c>
      <c r="F67" s="17">
        <v>3</v>
      </c>
      <c r="G67" s="17">
        <v>8</v>
      </c>
    </row>
    <row r="68" spans="1:7" ht="15" customHeight="1" x14ac:dyDescent="0.3">
      <c r="A68" s="17" t="s">
        <v>87</v>
      </c>
      <c r="B68" s="17" t="s">
        <v>21</v>
      </c>
      <c r="C68" s="17">
        <v>72.5</v>
      </c>
      <c r="D68" s="17">
        <v>29.1</v>
      </c>
      <c r="E68" s="17">
        <v>6</v>
      </c>
      <c r="F68" s="17">
        <v>3</v>
      </c>
      <c r="G68" s="17">
        <v>117</v>
      </c>
    </row>
    <row r="69" spans="1:7" ht="15" customHeight="1" x14ac:dyDescent="0.3">
      <c r="A69" s="17" t="s">
        <v>88</v>
      </c>
      <c r="B69" s="17" t="s">
        <v>21</v>
      </c>
      <c r="C69" s="17">
        <v>86.5</v>
      </c>
      <c r="D69" s="17">
        <v>20.9</v>
      </c>
      <c r="E69" s="17">
        <v>3</v>
      </c>
      <c r="F69" s="17">
        <v>0</v>
      </c>
      <c r="G69" s="17">
        <v>60</v>
      </c>
    </row>
    <row r="70" spans="1:7" ht="15" customHeight="1" x14ac:dyDescent="0.3">
      <c r="A70" s="17" t="s">
        <v>89</v>
      </c>
      <c r="B70" s="17" t="s">
        <v>21</v>
      </c>
      <c r="C70" s="17">
        <v>77.5</v>
      </c>
      <c r="D70" s="17">
        <v>21.8</v>
      </c>
      <c r="E70" s="17">
        <v>4</v>
      </c>
      <c r="F70" s="17">
        <v>2</v>
      </c>
      <c r="G70" s="17">
        <v>71</v>
      </c>
    </row>
    <row r="71" spans="1:7" ht="15" customHeight="1" x14ac:dyDescent="0.3">
      <c r="A71" s="17" t="s">
        <v>90</v>
      </c>
      <c r="B71" s="17" t="s">
        <v>21</v>
      </c>
      <c r="C71" s="17">
        <v>77.3</v>
      </c>
      <c r="D71" s="17">
        <v>20.8</v>
      </c>
      <c r="E71" s="17">
        <v>4</v>
      </c>
      <c r="F71" s="17">
        <v>0</v>
      </c>
      <c r="G71" s="17">
        <v>92</v>
      </c>
    </row>
    <row r="72" spans="1:7" ht="15" customHeight="1" x14ac:dyDescent="0.3">
      <c r="A72" s="17" t="s">
        <v>91</v>
      </c>
      <c r="B72" s="17" t="s">
        <v>21</v>
      </c>
      <c r="C72" s="17">
        <v>77.099999999999994</v>
      </c>
      <c r="D72" s="17">
        <v>19</v>
      </c>
      <c r="E72" s="17">
        <v>3</v>
      </c>
      <c r="F72" s="17">
        <v>1</v>
      </c>
      <c r="G72" s="17">
        <v>41</v>
      </c>
    </row>
    <row r="73" spans="1:7" ht="15" customHeight="1" x14ac:dyDescent="0.3">
      <c r="A73" s="17" t="s">
        <v>92</v>
      </c>
      <c r="B73" s="17" t="s">
        <v>21</v>
      </c>
      <c r="C73" s="17">
        <v>77.400000000000006</v>
      </c>
      <c r="D73" s="17">
        <v>8</v>
      </c>
      <c r="E73" s="17">
        <v>4</v>
      </c>
      <c r="F73" s="17">
        <v>1</v>
      </c>
      <c r="G73" s="17">
        <v>12</v>
      </c>
    </row>
    <row r="74" spans="1:7" ht="15" customHeight="1" x14ac:dyDescent="0.3">
      <c r="A74" s="17" t="s">
        <v>93</v>
      </c>
      <c r="B74" s="17" t="s">
        <v>21</v>
      </c>
      <c r="C74" s="17">
        <v>67.3</v>
      </c>
      <c r="D74" s="17">
        <v>21.3</v>
      </c>
      <c r="E74" s="17">
        <v>6</v>
      </c>
      <c r="F74" s="17">
        <v>3</v>
      </c>
      <c r="G74" s="17">
        <v>40</v>
      </c>
    </row>
    <row r="75" spans="1:7" ht="15" customHeight="1" x14ac:dyDescent="0.3">
      <c r="A75" s="17" t="s">
        <v>94</v>
      </c>
      <c r="B75" s="17" t="s">
        <v>21</v>
      </c>
      <c r="C75" s="17">
        <v>72.400000000000006</v>
      </c>
      <c r="D75" s="17">
        <v>16.899999999999999</v>
      </c>
      <c r="E75" s="17">
        <v>5</v>
      </c>
      <c r="F75" s="17">
        <v>2</v>
      </c>
      <c r="G75" s="17">
        <v>107</v>
      </c>
    </row>
    <row r="76" spans="1:7" ht="15" customHeight="1" x14ac:dyDescent="0.3">
      <c r="A76" s="17" t="s">
        <v>95</v>
      </c>
      <c r="B76" s="17" t="s">
        <v>21</v>
      </c>
      <c r="C76" s="17">
        <v>81.900000000000006</v>
      </c>
      <c r="D76" s="17">
        <v>23.7</v>
      </c>
      <c r="E76" s="17">
        <v>6</v>
      </c>
      <c r="F76" s="17">
        <v>2</v>
      </c>
      <c r="G76" s="17">
        <v>19</v>
      </c>
    </row>
    <row r="77" spans="1:7" ht="15" customHeight="1" x14ac:dyDescent="0.3">
      <c r="A77" s="17" t="s">
        <v>96</v>
      </c>
      <c r="B77" s="17" t="s">
        <v>21</v>
      </c>
      <c r="C77" s="17">
        <v>77.599999999999994</v>
      </c>
      <c r="D77" s="17">
        <v>24</v>
      </c>
      <c r="E77" s="17">
        <v>10</v>
      </c>
      <c r="F77" s="17">
        <v>6</v>
      </c>
      <c r="G77" s="17">
        <v>14</v>
      </c>
    </row>
    <row r="78" spans="1:7" ht="15" customHeight="1" x14ac:dyDescent="0.3">
      <c r="A78" s="17" t="s">
        <v>97</v>
      </c>
      <c r="B78" s="17" t="s">
        <v>21</v>
      </c>
      <c r="C78" s="17">
        <v>67.900000000000006</v>
      </c>
      <c r="D78" s="17">
        <v>35.4</v>
      </c>
      <c r="E78" s="17">
        <v>5</v>
      </c>
      <c r="F78" s="17">
        <v>1</v>
      </c>
      <c r="G78" s="17">
        <v>127</v>
      </c>
    </row>
    <row r="79" spans="1:7" ht="15" customHeight="1" x14ac:dyDescent="0.3">
      <c r="A79" s="17" t="s">
        <v>98</v>
      </c>
      <c r="B79" s="17" t="s">
        <v>21</v>
      </c>
      <c r="C79" s="17">
        <v>81.5</v>
      </c>
      <c r="D79" s="17">
        <v>30.3</v>
      </c>
      <c r="E79" s="17">
        <v>7</v>
      </c>
      <c r="F79" s="17">
        <v>2</v>
      </c>
      <c r="G79" s="17">
        <v>110</v>
      </c>
    </row>
    <row r="80" spans="1:7" ht="15" customHeight="1" x14ac:dyDescent="0.3">
      <c r="A80" s="17" t="s">
        <v>99</v>
      </c>
      <c r="B80" s="17" t="s">
        <v>21</v>
      </c>
      <c r="C80" s="17">
        <v>73.900000000000006</v>
      </c>
      <c r="D80" s="17">
        <v>16.8</v>
      </c>
      <c r="E80" s="17">
        <v>8</v>
      </c>
      <c r="F80" s="17">
        <v>0</v>
      </c>
      <c r="G80" s="17">
        <v>33</v>
      </c>
    </row>
    <row r="81" spans="1:7" ht="15" customHeight="1" x14ac:dyDescent="0.3">
      <c r="A81" s="17" t="s">
        <v>100</v>
      </c>
      <c r="B81" s="17" t="s">
        <v>21</v>
      </c>
      <c r="C81" s="17">
        <v>67.599999999999994</v>
      </c>
      <c r="D81" s="17">
        <v>13</v>
      </c>
      <c r="E81" s="17">
        <v>5</v>
      </c>
      <c r="F81" s="17">
        <v>1</v>
      </c>
      <c r="G81" s="17">
        <v>76</v>
      </c>
    </row>
    <row r="82" spans="1:7" ht="15" customHeight="1" x14ac:dyDescent="0.3">
      <c r="A82" s="17" t="s">
        <v>101</v>
      </c>
      <c r="B82" s="17" t="s">
        <v>21</v>
      </c>
      <c r="C82" s="17">
        <v>85.4</v>
      </c>
      <c r="D82" s="17">
        <v>35.6</v>
      </c>
      <c r="E82" s="17">
        <v>3</v>
      </c>
      <c r="F82" s="17">
        <v>0</v>
      </c>
      <c r="G82" s="17">
        <v>24</v>
      </c>
    </row>
    <row r="83" spans="1:7" ht="15" customHeight="1" x14ac:dyDescent="0.3">
      <c r="A83" s="17" t="s">
        <v>102</v>
      </c>
      <c r="B83" s="17" t="s">
        <v>21</v>
      </c>
      <c r="C83" s="17">
        <v>79.5</v>
      </c>
      <c r="D83" s="17">
        <v>14</v>
      </c>
      <c r="E83" s="17">
        <v>5</v>
      </c>
      <c r="F83" s="17">
        <v>2</v>
      </c>
      <c r="G83" s="17">
        <v>30</v>
      </c>
    </row>
    <row r="84" spans="1:7" ht="15" customHeight="1" x14ac:dyDescent="0.3">
      <c r="A84" s="17" t="s">
        <v>103</v>
      </c>
      <c r="B84" s="17" t="s">
        <v>21</v>
      </c>
      <c r="C84" s="17">
        <v>79.599999999999994</v>
      </c>
      <c r="D84" s="17">
        <v>13.5</v>
      </c>
      <c r="E84" s="17">
        <v>5</v>
      </c>
      <c r="F84" s="17">
        <v>3</v>
      </c>
      <c r="G84" s="17">
        <v>75</v>
      </c>
    </row>
    <row r="85" spans="1:7" ht="15" customHeight="1" x14ac:dyDescent="0.3">
      <c r="A85" s="17" t="s">
        <v>104</v>
      </c>
      <c r="B85" s="17" t="s">
        <v>21</v>
      </c>
      <c r="C85" s="17">
        <v>82.2</v>
      </c>
      <c r="D85" s="17">
        <v>20.2</v>
      </c>
      <c r="E85" s="17">
        <v>6</v>
      </c>
      <c r="F85" s="17">
        <v>2</v>
      </c>
      <c r="G85" s="17">
        <v>37</v>
      </c>
    </row>
    <row r="86" spans="1:7" ht="15" customHeight="1" x14ac:dyDescent="0.3">
      <c r="A86" s="17" t="s">
        <v>105</v>
      </c>
      <c r="B86" s="17" t="s">
        <v>21</v>
      </c>
      <c r="C86" s="17">
        <v>82.6</v>
      </c>
      <c r="D86" s="17">
        <v>7.6</v>
      </c>
      <c r="E86" s="17">
        <v>5</v>
      </c>
      <c r="F86" s="17">
        <v>2</v>
      </c>
      <c r="G86" s="17">
        <v>112</v>
      </c>
    </row>
    <row r="87" spans="1:7" ht="15" customHeight="1" x14ac:dyDescent="0.3">
      <c r="A87" s="17" t="s">
        <v>106</v>
      </c>
      <c r="B87" s="17" t="s">
        <v>21</v>
      </c>
      <c r="C87" s="17">
        <v>77.8</v>
      </c>
      <c r="D87" s="17">
        <v>16.5</v>
      </c>
      <c r="E87" s="17">
        <v>2</v>
      </c>
      <c r="F87" s="17">
        <v>1</v>
      </c>
      <c r="G87" s="17">
        <v>37</v>
      </c>
    </row>
    <row r="88" spans="1:7" ht="15" customHeight="1" x14ac:dyDescent="0.3">
      <c r="A88" s="17" t="s">
        <v>107</v>
      </c>
      <c r="B88" s="17" t="s">
        <v>21</v>
      </c>
      <c r="C88" s="17">
        <v>67.099999999999994</v>
      </c>
      <c r="D88" s="17">
        <v>10.1</v>
      </c>
      <c r="E88" s="17">
        <v>4</v>
      </c>
      <c r="F88" s="17">
        <v>4</v>
      </c>
      <c r="G88" s="17">
        <v>92</v>
      </c>
    </row>
    <row r="89" spans="1:7" ht="15" customHeight="1" x14ac:dyDescent="0.3">
      <c r="A89" s="17" t="s">
        <v>108</v>
      </c>
      <c r="B89" s="17" t="s">
        <v>21</v>
      </c>
      <c r="C89" s="17">
        <v>80.599999999999994</v>
      </c>
      <c r="D89" s="17">
        <v>18.3</v>
      </c>
      <c r="E89" s="17">
        <v>6</v>
      </c>
      <c r="F89" s="17">
        <v>4</v>
      </c>
      <c r="G89" s="17">
        <v>17</v>
      </c>
    </row>
    <row r="90" spans="1:7" ht="15" customHeight="1" x14ac:dyDescent="0.3">
      <c r="A90" s="17" t="s">
        <v>109</v>
      </c>
      <c r="B90" s="17" t="s">
        <v>21</v>
      </c>
      <c r="C90" s="17">
        <v>77.3</v>
      </c>
      <c r="D90" s="17">
        <v>15.1</v>
      </c>
      <c r="E90" s="17">
        <v>5</v>
      </c>
      <c r="F90" s="17">
        <v>1</v>
      </c>
      <c r="G90" s="17">
        <v>58</v>
      </c>
    </row>
    <row r="91" spans="1:7" ht="15" customHeight="1" x14ac:dyDescent="0.3">
      <c r="A91" s="17" t="s">
        <v>110</v>
      </c>
      <c r="B91" s="17" t="s">
        <v>21</v>
      </c>
      <c r="C91" s="17">
        <v>73.900000000000006</v>
      </c>
      <c r="D91" s="17">
        <v>18</v>
      </c>
      <c r="E91" s="17">
        <v>10</v>
      </c>
      <c r="F91" s="17">
        <v>1</v>
      </c>
      <c r="G91" s="17">
        <v>85</v>
      </c>
    </row>
    <row r="92" spans="1:7" ht="15" customHeight="1" x14ac:dyDescent="0.3">
      <c r="A92" s="17" t="s">
        <v>111</v>
      </c>
      <c r="B92" s="17" t="s">
        <v>21</v>
      </c>
      <c r="C92" s="17">
        <v>79.3</v>
      </c>
      <c r="D92" s="17">
        <v>11.7</v>
      </c>
      <c r="E92" s="17">
        <v>4</v>
      </c>
      <c r="F92" s="17">
        <v>0</v>
      </c>
      <c r="G92" s="17">
        <v>86</v>
      </c>
    </row>
    <row r="93" spans="1:7" ht="15" customHeight="1" x14ac:dyDescent="0.3">
      <c r="A93" s="17" t="s">
        <v>112</v>
      </c>
      <c r="B93" s="17" t="s">
        <v>21</v>
      </c>
      <c r="C93" s="17">
        <v>72.900000000000006</v>
      </c>
      <c r="D93" s="17">
        <v>21.7</v>
      </c>
      <c r="E93" s="17">
        <v>2</v>
      </c>
      <c r="F93" s="17">
        <v>1</v>
      </c>
      <c r="G93" s="17">
        <v>15</v>
      </c>
    </row>
    <row r="94" spans="1:7" ht="15" customHeight="1" x14ac:dyDescent="0.3">
      <c r="A94" s="17" t="s">
        <v>113</v>
      </c>
      <c r="B94" s="17" t="s">
        <v>21</v>
      </c>
      <c r="C94" s="17">
        <v>80.7</v>
      </c>
      <c r="D94" s="17">
        <v>16.399999999999999</v>
      </c>
      <c r="E94" s="17">
        <v>5</v>
      </c>
      <c r="F94" s="17">
        <v>3</v>
      </c>
      <c r="G94" s="17">
        <v>120</v>
      </c>
    </row>
    <row r="95" spans="1:7" ht="15" customHeight="1" x14ac:dyDescent="0.3">
      <c r="A95" s="17" t="s">
        <v>114</v>
      </c>
      <c r="B95" s="17" t="s">
        <v>21</v>
      </c>
      <c r="C95" s="17">
        <v>81.400000000000006</v>
      </c>
      <c r="D95" s="17">
        <v>12.7</v>
      </c>
      <c r="E95" s="17">
        <v>7</v>
      </c>
      <c r="F95" s="17">
        <v>1</v>
      </c>
      <c r="G95" s="17">
        <v>47</v>
      </c>
    </row>
    <row r="96" spans="1:7" ht="15" customHeight="1" x14ac:dyDescent="0.3">
      <c r="A96" s="17" t="s">
        <v>115</v>
      </c>
      <c r="B96" s="17" t="s">
        <v>21</v>
      </c>
      <c r="C96" s="17">
        <v>68.5</v>
      </c>
      <c r="D96" s="17">
        <v>20.399999999999999</v>
      </c>
      <c r="E96" s="17">
        <v>6</v>
      </c>
      <c r="F96" s="17">
        <v>0</v>
      </c>
      <c r="G96" s="17">
        <v>42</v>
      </c>
    </row>
    <row r="97" spans="1:7" ht="15" customHeight="1" x14ac:dyDescent="0.3">
      <c r="A97" s="17" t="s">
        <v>116</v>
      </c>
      <c r="B97" s="17" t="s">
        <v>117</v>
      </c>
      <c r="C97" s="17">
        <v>60.1</v>
      </c>
      <c r="D97" s="17">
        <v>18</v>
      </c>
      <c r="E97" s="17">
        <v>9</v>
      </c>
      <c r="F97" s="17">
        <v>3</v>
      </c>
      <c r="G97" s="17">
        <v>76</v>
      </c>
    </row>
    <row r="98" spans="1:7" ht="15" customHeight="1" x14ac:dyDescent="0.3">
      <c r="A98" s="17" t="s">
        <v>118</v>
      </c>
      <c r="B98" s="17" t="s">
        <v>117</v>
      </c>
      <c r="C98" s="17">
        <v>68.2</v>
      </c>
      <c r="D98" s="17">
        <v>12</v>
      </c>
      <c r="E98" s="17">
        <v>7</v>
      </c>
      <c r="F98" s="17">
        <v>3</v>
      </c>
      <c r="G98" s="17">
        <v>93</v>
      </c>
    </row>
    <row r="99" spans="1:7" ht="15" customHeight="1" x14ac:dyDescent="0.3">
      <c r="A99" s="17" t="s">
        <v>119</v>
      </c>
      <c r="B99" s="17" t="s">
        <v>117</v>
      </c>
      <c r="C99" s="17">
        <v>66.5</v>
      </c>
      <c r="D99" s="17">
        <v>6</v>
      </c>
      <c r="E99" s="17">
        <v>4</v>
      </c>
      <c r="F99" s="17">
        <v>1</v>
      </c>
      <c r="G99" s="17">
        <v>72</v>
      </c>
    </row>
    <row r="100" spans="1:7" ht="15" customHeight="1" x14ac:dyDescent="0.3">
      <c r="A100" s="17" t="s">
        <v>120</v>
      </c>
      <c r="B100" s="17" t="s">
        <v>117</v>
      </c>
      <c r="C100" s="17">
        <v>68.900000000000006</v>
      </c>
      <c r="D100" s="17">
        <v>12.4</v>
      </c>
      <c r="E100" s="17">
        <v>5</v>
      </c>
      <c r="F100" s="17">
        <v>1</v>
      </c>
      <c r="G100" s="17">
        <v>42</v>
      </c>
    </row>
    <row r="101" spans="1:7" ht="15" customHeight="1" x14ac:dyDescent="0.3">
      <c r="A101" s="17" t="s">
        <v>121</v>
      </c>
      <c r="B101" s="17" t="s">
        <v>117</v>
      </c>
      <c r="C101" s="17">
        <v>71.7</v>
      </c>
      <c r="D101" s="17">
        <v>15.8</v>
      </c>
      <c r="E101" s="17">
        <v>4</v>
      </c>
      <c r="F101" s="17">
        <v>0</v>
      </c>
      <c r="G101" s="17">
        <v>27</v>
      </c>
    </row>
    <row r="102" spans="1:7" ht="15" customHeight="1" x14ac:dyDescent="0.3">
      <c r="A102" s="17" t="s">
        <v>122</v>
      </c>
      <c r="B102" s="17" t="s">
        <v>117</v>
      </c>
      <c r="C102" s="17">
        <v>75.900000000000006</v>
      </c>
      <c r="D102" s="17">
        <v>9.1</v>
      </c>
      <c r="E102" s="17">
        <v>6</v>
      </c>
      <c r="F102" s="17">
        <v>2</v>
      </c>
      <c r="G102" s="17">
        <v>90</v>
      </c>
    </row>
    <row r="103" spans="1:7" ht="15" customHeight="1" x14ac:dyDescent="0.3">
      <c r="A103" s="17" t="s">
        <v>123</v>
      </c>
      <c r="B103" s="17" t="s">
        <v>117</v>
      </c>
      <c r="C103" s="17">
        <v>65</v>
      </c>
      <c r="D103" s="17">
        <v>13.5</v>
      </c>
      <c r="E103" s="17">
        <v>2</v>
      </c>
      <c r="F103" s="17">
        <v>0</v>
      </c>
      <c r="G103" s="17">
        <v>32</v>
      </c>
    </row>
    <row r="104" spans="1:7" ht="15" customHeight="1" x14ac:dyDescent="0.3">
      <c r="A104" s="17" t="s">
        <v>124</v>
      </c>
      <c r="B104" s="17" t="s">
        <v>117</v>
      </c>
      <c r="C104" s="17">
        <v>70</v>
      </c>
      <c r="D104" s="17">
        <v>14.7</v>
      </c>
      <c r="E104" s="17">
        <v>3</v>
      </c>
      <c r="F104" s="17">
        <v>1</v>
      </c>
      <c r="G104" s="17">
        <v>64</v>
      </c>
    </row>
    <row r="105" spans="1:7" ht="15" customHeight="1" x14ac:dyDescent="0.3">
      <c r="A105" s="17" t="s">
        <v>125</v>
      </c>
      <c r="B105" s="17" t="s">
        <v>117</v>
      </c>
      <c r="C105" s="17">
        <v>76.3</v>
      </c>
      <c r="D105" s="17">
        <v>14.3</v>
      </c>
      <c r="E105" s="17">
        <v>4</v>
      </c>
      <c r="F105" s="17">
        <v>2</v>
      </c>
      <c r="G105" s="17">
        <v>45</v>
      </c>
    </row>
    <row r="106" spans="1:7" ht="15" customHeight="1" x14ac:dyDescent="0.3">
      <c r="A106" s="17" t="s">
        <v>126</v>
      </c>
      <c r="B106" s="17" t="s">
        <v>117</v>
      </c>
      <c r="C106" s="17">
        <v>74.5</v>
      </c>
      <c r="D106" s="17">
        <v>15.4</v>
      </c>
      <c r="E106" s="17">
        <v>5</v>
      </c>
      <c r="F106" s="17">
        <v>0</v>
      </c>
      <c r="G106" s="17">
        <v>35</v>
      </c>
    </row>
    <row r="107" spans="1:7" ht="15" customHeight="1" x14ac:dyDescent="0.3">
      <c r="A107" s="17" t="s">
        <v>127</v>
      </c>
      <c r="B107" s="17" t="s">
        <v>117</v>
      </c>
      <c r="C107" s="17">
        <v>78.8</v>
      </c>
      <c r="D107" s="17">
        <v>12.6</v>
      </c>
      <c r="E107" s="17">
        <v>10</v>
      </c>
      <c r="F107" s="17">
        <v>2</v>
      </c>
      <c r="G107" s="17">
        <v>93</v>
      </c>
    </row>
    <row r="108" spans="1:7" ht="15" customHeight="1" x14ac:dyDescent="0.3">
      <c r="A108" s="17" t="s">
        <v>128</v>
      </c>
      <c r="B108" s="17" t="s">
        <v>117</v>
      </c>
      <c r="C108" s="17">
        <v>64.599999999999994</v>
      </c>
      <c r="D108" s="17">
        <v>7.3</v>
      </c>
      <c r="E108" s="17">
        <v>6</v>
      </c>
      <c r="F108" s="17">
        <v>4</v>
      </c>
      <c r="G108" s="17">
        <v>27</v>
      </c>
    </row>
    <row r="109" spans="1:7" ht="15" customHeight="1" x14ac:dyDescent="0.3">
      <c r="A109" s="17" t="s">
        <v>129</v>
      </c>
      <c r="B109" s="17" t="s">
        <v>117</v>
      </c>
      <c r="C109" s="17">
        <v>68.2</v>
      </c>
      <c r="D109" s="17">
        <v>10.1</v>
      </c>
      <c r="E109" s="17">
        <v>6</v>
      </c>
      <c r="F109" s="17">
        <v>0</v>
      </c>
      <c r="G109" s="17">
        <v>60</v>
      </c>
    </row>
    <row r="110" spans="1:7" ht="15" customHeight="1" x14ac:dyDescent="0.3">
      <c r="A110" s="17" t="s">
        <v>130</v>
      </c>
      <c r="B110" s="17" t="s">
        <v>117</v>
      </c>
      <c r="C110" s="17">
        <v>67.2</v>
      </c>
      <c r="D110" s="17">
        <v>8.4</v>
      </c>
      <c r="E110" s="17">
        <v>5</v>
      </c>
      <c r="F110" s="17">
        <v>1</v>
      </c>
      <c r="G110" s="17">
        <v>62</v>
      </c>
    </row>
    <row r="111" spans="1:7" ht="15" customHeight="1" x14ac:dyDescent="0.3">
      <c r="A111" s="17" t="s">
        <v>131</v>
      </c>
      <c r="B111" s="17" t="s">
        <v>117</v>
      </c>
      <c r="C111" s="17">
        <v>63.2</v>
      </c>
      <c r="D111" s="17">
        <v>13.2</v>
      </c>
      <c r="E111" s="17">
        <v>5</v>
      </c>
      <c r="F111" s="17">
        <v>2</v>
      </c>
      <c r="G111" s="17">
        <v>67</v>
      </c>
    </row>
    <row r="112" spans="1:7" ht="15" customHeight="1" x14ac:dyDescent="0.3">
      <c r="A112" s="17" t="s">
        <v>132</v>
      </c>
      <c r="B112" s="17" t="s">
        <v>117</v>
      </c>
      <c r="C112" s="17">
        <v>77.8</v>
      </c>
      <c r="D112" s="17">
        <v>14.1</v>
      </c>
      <c r="E112" s="17">
        <v>14</v>
      </c>
      <c r="F112" s="17">
        <v>5</v>
      </c>
      <c r="G112" s="17">
        <v>21</v>
      </c>
    </row>
    <row r="113" spans="1:7" ht="15" customHeight="1" x14ac:dyDescent="0.3">
      <c r="A113" s="17" t="s">
        <v>133</v>
      </c>
      <c r="B113" s="17" t="s">
        <v>117</v>
      </c>
      <c r="C113" s="17">
        <v>73.8</v>
      </c>
      <c r="D113" s="17">
        <v>8.3000000000000007</v>
      </c>
      <c r="E113" s="17">
        <v>7</v>
      </c>
      <c r="F113" s="17">
        <v>4</v>
      </c>
      <c r="G113" s="17">
        <v>66</v>
      </c>
    </row>
    <row r="114" spans="1:7" ht="15" customHeight="1" x14ac:dyDescent="0.3">
      <c r="A114" s="17" t="s">
        <v>134</v>
      </c>
      <c r="B114" s="17" t="s">
        <v>117</v>
      </c>
      <c r="C114" s="17">
        <v>76</v>
      </c>
      <c r="D114" s="17">
        <v>9.1999999999999993</v>
      </c>
      <c r="E114" s="17">
        <v>6</v>
      </c>
      <c r="F114" s="17">
        <v>1</v>
      </c>
      <c r="G114" s="17">
        <v>55</v>
      </c>
    </row>
    <row r="115" spans="1:7" ht="15" customHeight="1" x14ac:dyDescent="0.3">
      <c r="A115" s="17" t="s">
        <v>135</v>
      </c>
      <c r="B115" s="17" t="s">
        <v>117</v>
      </c>
      <c r="C115" s="17">
        <v>74.7</v>
      </c>
      <c r="D115" s="17">
        <v>16.899999999999999</v>
      </c>
      <c r="E115" s="17">
        <v>5</v>
      </c>
      <c r="F115" s="17">
        <v>0</v>
      </c>
      <c r="G115" s="17">
        <v>44</v>
      </c>
    </row>
    <row r="116" spans="1:7" ht="15" customHeight="1" x14ac:dyDescent="0.3">
      <c r="A116" s="17" t="s">
        <v>136</v>
      </c>
      <c r="B116" s="17" t="s">
        <v>117</v>
      </c>
      <c r="C116" s="17">
        <v>66.900000000000006</v>
      </c>
      <c r="D116" s="17">
        <v>13.1</v>
      </c>
      <c r="E116" s="17">
        <v>7</v>
      </c>
      <c r="F116" s="17">
        <v>3</v>
      </c>
      <c r="G116" s="17">
        <v>47</v>
      </c>
    </row>
    <row r="117" spans="1:7" ht="15" customHeight="1" x14ac:dyDescent="0.3">
      <c r="A117" s="17" t="s">
        <v>137</v>
      </c>
      <c r="B117" s="17" t="s">
        <v>117</v>
      </c>
      <c r="C117" s="17">
        <v>64.400000000000006</v>
      </c>
      <c r="D117" s="17">
        <v>23.6</v>
      </c>
      <c r="E117" s="17">
        <v>9</v>
      </c>
      <c r="F117" s="17">
        <v>2</v>
      </c>
      <c r="G117" s="17">
        <v>56</v>
      </c>
    </row>
    <row r="118" spans="1:7" ht="15" customHeight="1" x14ac:dyDescent="0.3">
      <c r="A118" s="17" t="s">
        <v>138</v>
      </c>
      <c r="B118" s="17" t="s">
        <v>117</v>
      </c>
      <c r="C118" s="17">
        <v>70</v>
      </c>
      <c r="D118" s="17">
        <v>14.9</v>
      </c>
      <c r="E118" s="17">
        <v>7</v>
      </c>
      <c r="F118" s="17">
        <v>2</v>
      </c>
      <c r="G118" s="17">
        <v>65</v>
      </c>
    </row>
    <row r="119" spans="1:7" ht="15" customHeight="1" x14ac:dyDescent="0.3">
      <c r="A119" s="17" t="s">
        <v>139</v>
      </c>
      <c r="B119" s="17" t="s">
        <v>117</v>
      </c>
      <c r="C119" s="17">
        <v>75.3</v>
      </c>
      <c r="D119" s="17">
        <v>14.9</v>
      </c>
      <c r="E119" s="17">
        <v>7</v>
      </c>
      <c r="F119" s="17">
        <v>2</v>
      </c>
      <c r="G119" s="17">
        <v>27</v>
      </c>
    </row>
    <row r="120" spans="1:7" ht="15" customHeight="1" x14ac:dyDescent="0.3">
      <c r="A120" s="17" t="s">
        <v>140</v>
      </c>
      <c r="B120" s="17" t="s">
        <v>117</v>
      </c>
      <c r="C120" s="17">
        <v>69.7</v>
      </c>
      <c r="D120" s="17">
        <v>9.8000000000000007</v>
      </c>
      <c r="E120" s="17">
        <v>3</v>
      </c>
      <c r="F120" s="17">
        <v>1</v>
      </c>
      <c r="G120" s="17">
        <v>44</v>
      </c>
    </row>
    <row r="121" spans="1:7" ht="15" customHeight="1" x14ac:dyDescent="0.3">
      <c r="A121" s="17" t="s">
        <v>141</v>
      </c>
      <c r="B121" s="17" t="s">
        <v>117</v>
      </c>
      <c r="C121" s="17">
        <v>96.9</v>
      </c>
      <c r="D121" s="17">
        <v>9.4</v>
      </c>
      <c r="E121" s="17">
        <v>2</v>
      </c>
      <c r="F121" s="17">
        <v>0</v>
      </c>
      <c r="G121" s="17">
        <v>34</v>
      </c>
    </row>
    <row r="122" spans="1:7" ht="15" customHeight="1" x14ac:dyDescent="0.3">
      <c r="A122" s="17" t="s">
        <v>142</v>
      </c>
      <c r="B122" s="17" t="s">
        <v>117</v>
      </c>
      <c r="C122" s="17">
        <v>74.7</v>
      </c>
      <c r="D122" s="17">
        <v>8</v>
      </c>
      <c r="E122" s="17">
        <v>7</v>
      </c>
      <c r="F122" s="17">
        <v>0</v>
      </c>
      <c r="G122" s="17">
        <v>15</v>
      </c>
    </row>
    <row r="123" spans="1:7" ht="15" customHeight="1" x14ac:dyDescent="0.3">
      <c r="A123" s="17" t="s">
        <v>143</v>
      </c>
      <c r="B123" s="17" t="s">
        <v>117</v>
      </c>
      <c r="C123" s="17">
        <v>70</v>
      </c>
      <c r="D123" s="17">
        <v>8.4</v>
      </c>
      <c r="E123" s="17">
        <v>4</v>
      </c>
      <c r="F123" s="17">
        <v>3</v>
      </c>
      <c r="G123" s="17">
        <v>22</v>
      </c>
    </row>
    <row r="124" spans="1:7" ht="15" customHeight="1" x14ac:dyDescent="0.3">
      <c r="A124" s="17" t="s">
        <v>144</v>
      </c>
      <c r="B124" s="17" t="s">
        <v>117</v>
      </c>
      <c r="C124" s="17">
        <v>80.599999999999994</v>
      </c>
      <c r="D124" s="17">
        <v>7.5</v>
      </c>
      <c r="E124" s="17">
        <v>3</v>
      </c>
      <c r="F124" s="17">
        <v>2</v>
      </c>
      <c r="G124" s="17">
        <v>30</v>
      </c>
    </row>
    <row r="125" spans="1:7" ht="15" customHeight="1" x14ac:dyDescent="0.3">
      <c r="A125" s="17" t="s">
        <v>145</v>
      </c>
      <c r="B125" s="17" t="s">
        <v>117</v>
      </c>
      <c r="C125" s="17">
        <v>69.7</v>
      </c>
      <c r="D125" s="17">
        <v>18.2</v>
      </c>
      <c r="E125" s="17">
        <v>4</v>
      </c>
      <c r="F125" s="17">
        <v>0</v>
      </c>
      <c r="G125" s="17">
        <v>64</v>
      </c>
    </row>
    <row r="126" spans="1:7" ht="15" customHeight="1" x14ac:dyDescent="0.3">
      <c r="A126" s="17" t="s">
        <v>146</v>
      </c>
      <c r="B126" s="17" t="s">
        <v>117</v>
      </c>
      <c r="C126" s="17">
        <v>71.5</v>
      </c>
      <c r="D126" s="17">
        <v>11.7</v>
      </c>
      <c r="E126" s="17">
        <v>7</v>
      </c>
      <c r="F126" s="17">
        <v>2</v>
      </c>
      <c r="G126" s="17">
        <v>47</v>
      </c>
    </row>
    <row r="127" spans="1:7" ht="15" customHeight="1" x14ac:dyDescent="0.3">
      <c r="A127" s="17" t="s">
        <v>147</v>
      </c>
      <c r="B127" s="17" t="s">
        <v>117</v>
      </c>
      <c r="C127" s="17">
        <v>73</v>
      </c>
      <c r="D127" s="17">
        <v>16.899999999999999</v>
      </c>
      <c r="E127" s="17">
        <v>5</v>
      </c>
      <c r="F127" s="17">
        <v>1</v>
      </c>
      <c r="G127" s="17">
        <v>53</v>
      </c>
    </row>
    <row r="128" spans="1:7" ht="15" customHeight="1" x14ac:dyDescent="0.3">
      <c r="A128" s="17" t="s">
        <v>148</v>
      </c>
      <c r="B128" s="17" t="s">
        <v>117</v>
      </c>
      <c r="C128" s="17">
        <v>80.7</v>
      </c>
      <c r="D128" s="17">
        <v>14.1</v>
      </c>
      <c r="E128" s="17">
        <v>7</v>
      </c>
      <c r="F128" s="17">
        <v>3</v>
      </c>
      <c r="G128" s="17">
        <v>40</v>
      </c>
    </row>
    <row r="129" spans="1:7" ht="15" customHeight="1" x14ac:dyDescent="0.3">
      <c r="A129" s="17" t="s">
        <v>149</v>
      </c>
      <c r="B129" s="17" t="s">
        <v>117</v>
      </c>
      <c r="C129" s="17">
        <v>62.6</v>
      </c>
      <c r="D129" s="17">
        <v>15.2</v>
      </c>
      <c r="E129" s="17">
        <v>6</v>
      </c>
      <c r="F129" s="17">
        <v>0</v>
      </c>
      <c r="G129" s="17">
        <v>87</v>
      </c>
    </row>
    <row r="130" spans="1:7" ht="15" customHeight="1" x14ac:dyDescent="0.3">
      <c r="A130" s="17" t="s">
        <v>150</v>
      </c>
      <c r="B130" s="17" t="s">
        <v>117</v>
      </c>
      <c r="C130" s="17">
        <v>80.7</v>
      </c>
      <c r="D130" s="17">
        <v>16.600000000000001</v>
      </c>
      <c r="E130" s="17">
        <v>10</v>
      </c>
      <c r="F130" s="17">
        <v>3</v>
      </c>
      <c r="G130" s="17">
        <v>29</v>
      </c>
    </row>
    <row r="131" spans="1:7" ht="15" customHeight="1" x14ac:dyDescent="0.3">
      <c r="A131" s="17" t="s">
        <v>151</v>
      </c>
      <c r="B131" s="17" t="s">
        <v>117</v>
      </c>
      <c r="C131" s="17">
        <v>58</v>
      </c>
      <c r="D131" s="17">
        <v>13.2</v>
      </c>
      <c r="E131" s="17">
        <v>2</v>
      </c>
      <c r="F131" s="17">
        <v>0</v>
      </c>
      <c r="G131" s="17">
        <v>16</v>
      </c>
    </row>
    <row r="132" spans="1:7" ht="15" customHeight="1" x14ac:dyDescent="0.3">
      <c r="A132" s="17" t="s">
        <v>152</v>
      </c>
      <c r="B132" s="17" t="s">
        <v>117</v>
      </c>
      <c r="C132" s="17">
        <v>80.400000000000006</v>
      </c>
      <c r="D132" s="17">
        <v>16.5</v>
      </c>
      <c r="E132" s="17">
        <v>4</v>
      </c>
      <c r="F132" s="17">
        <v>1</v>
      </c>
      <c r="G132" s="17">
        <v>59</v>
      </c>
    </row>
    <row r="133" spans="1:7" ht="15" customHeight="1" x14ac:dyDescent="0.3">
      <c r="A133" s="17" t="s">
        <v>153</v>
      </c>
      <c r="B133" s="17" t="s">
        <v>117</v>
      </c>
      <c r="C133" s="17">
        <v>77.599999999999994</v>
      </c>
      <c r="D133" s="17">
        <v>17.399999999999999</v>
      </c>
      <c r="E133" s="17">
        <v>3</v>
      </c>
      <c r="F133" s="17">
        <v>1</v>
      </c>
      <c r="G133" s="17">
        <v>33</v>
      </c>
    </row>
    <row r="134" spans="1:7" ht="15" customHeight="1" x14ac:dyDescent="0.3">
      <c r="A134" s="17" t="s">
        <v>154</v>
      </c>
      <c r="B134" s="17" t="s">
        <v>117</v>
      </c>
      <c r="C134" s="17">
        <v>79.7</v>
      </c>
      <c r="D134" s="17">
        <v>13.4</v>
      </c>
      <c r="E134" s="17">
        <v>3</v>
      </c>
      <c r="F134" s="17">
        <v>1</v>
      </c>
      <c r="G134" s="17">
        <v>63</v>
      </c>
    </row>
    <row r="135" spans="1:7" ht="15" customHeight="1" x14ac:dyDescent="0.3">
      <c r="A135" s="17" t="s">
        <v>155</v>
      </c>
      <c r="B135" s="17" t="s">
        <v>117</v>
      </c>
      <c r="C135" s="17">
        <v>59.3</v>
      </c>
      <c r="D135" s="17">
        <v>8.1999999999999993</v>
      </c>
      <c r="E135" s="17">
        <v>3</v>
      </c>
      <c r="F135" s="17">
        <v>0</v>
      </c>
      <c r="G135" s="17">
        <v>62</v>
      </c>
    </row>
    <row r="136" spans="1:7" ht="15" customHeight="1" x14ac:dyDescent="0.3">
      <c r="A136" s="17" t="s">
        <v>156</v>
      </c>
      <c r="B136" s="17" t="s">
        <v>117</v>
      </c>
      <c r="C136" s="17">
        <v>79.400000000000006</v>
      </c>
      <c r="D136" s="17">
        <v>13.2</v>
      </c>
      <c r="E136" s="17">
        <v>6</v>
      </c>
      <c r="F136" s="17">
        <v>1</v>
      </c>
      <c r="G136" s="17">
        <v>113</v>
      </c>
    </row>
    <row r="137" spans="1:7" ht="15" customHeight="1" x14ac:dyDescent="0.3">
      <c r="A137" s="17" t="s">
        <v>157</v>
      </c>
      <c r="B137" s="17" t="s">
        <v>117</v>
      </c>
      <c r="C137" s="17">
        <v>89.9</v>
      </c>
      <c r="D137" s="17">
        <v>10.1</v>
      </c>
      <c r="E137" s="17">
        <v>5</v>
      </c>
      <c r="F137" s="17">
        <v>1</v>
      </c>
      <c r="G137" s="17">
        <v>80</v>
      </c>
    </row>
    <row r="138" spans="1:7" ht="15" customHeight="1" x14ac:dyDescent="0.3">
      <c r="A138" s="17" t="s">
        <v>158</v>
      </c>
      <c r="B138" s="17" t="s">
        <v>117</v>
      </c>
      <c r="C138" s="17">
        <v>61.2</v>
      </c>
      <c r="D138" s="17">
        <v>15.1</v>
      </c>
      <c r="E138" s="17">
        <v>9</v>
      </c>
      <c r="F138" s="17">
        <v>3</v>
      </c>
      <c r="G138" s="17">
        <v>72</v>
      </c>
    </row>
    <row r="139" spans="1:7" ht="15" customHeight="1" x14ac:dyDescent="0.3">
      <c r="A139" s="17" t="s">
        <v>159</v>
      </c>
      <c r="B139" s="17" t="s">
        <v>117</v>
      </c>
      <c r="C139" s="17">
        <v>75</v>
      </c>
      <c r="D139" s="17">
        <v>18.8</v>
      </c>
      <c r="E139" s="17">
        <v>4</v>
      </c>
      <c r="F139" s="17">
        <v>1</v>
      </c>
      <c r="G139" s="17">
        <v>125</v>
      </c>
    </row>
    <row r="140" spans="1:7" ht="15" customHeight="1" x14ac:dyDescent="0.3">
      <c r="A140" s="17" t="s">
        <v>160</v>
      </c>
      <c r="B140" s="17" t="s">
        <v>117</v>
      </c>
      <c r="C140" s="17">
        <v>63.6</v>
      </c>
      <c r="D140" s="17">
        <v>36.9</v>
      </c>
      <c r="E140" s="17">
        <v>5</v>
      </c>
      <c r="F140" s="17">
        <v>2</v>
      </c>
      <c r="G140" s="17">
        <v>31</v>
      </c>
    </row>
    <row r="141" spans="1:7" ht="15" customHeight="1" x14ac:dyDescent="0.3">
      <c r="A141" s="17" t="s">
        <v>161</v>
      </c>
      <c r="B141" s="17" t="s">
        <v>117</v>
      </c>
      <c r="C141" s="17">
        <v>73.7</v>
      </c>
      <c r="D141" s="17">
        <v>19.5</v>
      </c>
      <c r="E141" s="17">
        <v>3</v>
      </c>
      <c r="F141" s="17">
        <v>1</v>
      </c>
      <c r="G141" s="17">
        <v>25</v>
      </c>
    </row>
    <row r="142" spans="1:7" ht="15" customHeight="1" x14ac:dyDescent="0.3">
      <c r="A142" s="17" t="s">
        <v>162</v>
      </c>
      <c r="B142" s="17" t="s">
        <v>117</v>
      </c>
      <c r="C142" s="17">
        <v>61.8</v>
      </c>
      <c r="D142" s="17">
        <v>9.6</v>
      </c>
      <c r="E142" s="17">
        <v>5</v>
      </c>
      <c r="F142" s="17">
        <v>1</v>
      </c>
      <c r="G142" s="17">
        <v>55</v>
      </c>
    </row>
    <row r="143" spans="1:7" ht="15" customHeight="1" x14ac:dyDescent="0.3">
      <c r="A143" s="17" t="s">
        <v>163</v>
      </c>
      <c r="B143" s="17" t="s">
        <v>117</v>
      </c>
      <c r="C143" s="17">
        <v>68.599999999999994</v>
      </c>
      <c r="D143" s="17">
        <v>11.8</v>
      </c>
      <c r="E143" s="17">
        <v>5</v>
      </c>
      <c r="F143" s="17">
        <v>0</v>
      </c>
      <c r="G143" s="17">
        <v>19</v>
      </c>
    </row>
    <row r="144" spans="1:7" ht="15" customHeight="1" x14ac:dyDescent="0.3">
      <c r="A144" s="17" t="s">
        <v>164</v>
      </c>
      <c r="B144" s="17" t="s">
        <v>117</v>
      </c>
      <c r="C144" s="17">
        <v>67.2</v>
      </c>
      <c r="D144" s="17">
        <v>16</v>
      </c>
      <c r="E144" s="17">
        <v>4</v>
      </c>
      <c r="F144" s="17">
        <v>2</v>
      </c>
      <c r="G144" s="17">
        <v>31</v>
      </c>
    </row>
    <row r="145" spans="1:7" ht="15" customHeight="1" x14ac:dyDescent="0.3">
      <c r="A145" s="17" t="s">
        <v>165</v>
      </c>
      <c r="B145" s="17" t="s">
        <v>117</v>
      </c>
      <c r="C145" s="17">
        <v>70.2</v>
      </c>
      <c r="D145" s="17">
        <v>10.7</v>
      </c>
      <c r="E145" s="17">
        <v>6</v>
      </c>
      <c r="F145" s="17">
        <v>1</v>
      </c>
      <c r="G145" s="17">
        <v>38</v>
      </c>
    </row>
    <row r="146" spans="1:7" ht="15" customHeight="1" x14ac:dyDescent="0.3">
      <c r="A146" s="17" t="s">
        <v>166</v>
      </c>
      <c r="B146" s="17" t="s">
        <v>117</v>
      </c>
      <c r="C146" s="17">
        <v>64.5</v>
      </c>
      <c r="D146" s="17">
        <v>17</v>
      </c>
      <c r="E146" s="17">
        <v>3</v>
      </c>
      <c r="F146" s="17">
        <v>1</v>
      </c>
      <c r="G146" s="17">
        <v>36</v>
      </c>
    </row>
    <row r="147" spans="1:7" ht="15" customHeight="1" x14ac:dyDescent="0.3">
      <c r="A147" s="17" t="s">
        <v>167</v>
      </c>
      <c r="B147" s="17" t="s">
        <v>117</v>
      </c>
      <c r="C147" s="17">
        <v>68.099999999999994</v>
      </c>
      <c r="D147" s="17">
        <v>10.9</v>
      </c>
      <c r="E147" s="17">
        <v>6</v>
      </c>
      <c r="F147" s="17">
        <v>0</v>
      </c>
      <c r="G147" s="17">
        <v>96</v>
      </c>
    </row>
    <row r="148" spans="1:7" ht="15" customHeight="1" x14ac:dyDescent="0.3">
      <c r="A148" s="17" t="s">
        <v>168</v>
      </c>
      <c r="B148" s="17" t="s">
        <v>117</v>
      </c>
      <c r="C148" s="17">
        <v>86.6</v>
      </c>
      <c r="D148" s="17">
        <v>21</v>
      </c>
      <c r="E148" s="17">
        <v>6</v>
      </c>
      <c r="F148" s="17">
        <v>0</v>
      </c>
      <c r="G148" s="17">
        <v>50</v>
      </c>
    </row>
    <row r="149" spans="1:7" ht="15" customHeight="1" x14ac:dyDescent="0.3">
      <c r="A149" s="17" t="s">
        <v>169</v>
      </c>
      <c r="B149" s="17" t="s">
        <v>117</v>
      </c>
      <c r="C149" s="17">
        <v>75.2</v>
      </c>
      <c r="D149" s="17">
        <v>14.4</v>
      </c>
      <c r="E149" s="17">
        <v>6</v>
      </c>
      <c r="F149" s="17">
        <v>1</v>
      </c>
      <c r="G149" s="17">
        <v>136</v>
      </c>
    </row>
    <row r="150" spans="1:7" ht="15" customHeight="1" x14ac:dyDescent="0.3">
      <c r="A150" s="17" t="s">
        <v>170</v>
      </c>
      <c r="B150" s="17" t="s">
        <v>117</v>
      </c>
      <c r="C150" s="17">
        <v>79.8</v>
      </c>
      <c r="D150" s="17">
        <v>10.1</v>
      </c>
      <c r="E150" s="17">
        <v>5</v>
      </c>
      <c r="F150" s="17">
        <v>0</v>
      </c>
      <c r="G150" s="17">
        <v>31</v>
      </c>
    </row>
    <row r="151" spans="1:7" ht="15" customHeight="1" x14ac:dyDescent="0.3">
      <c r="A151" s="17" t="s">
        <v>171</v>
      </c>
      <c r="B151" s="17" t="s">
        <v>117</v>
      </c>
      <c r="C151" s="17">
        <v>63.5</v>
      </c>
      <c r="D151" s="17">
        <v>18.8</v>
      </c>
      <c r="E151" s="17">
        <v>5</v>
      </c>
      <c r="F151" s="17">
        <v>3</v>
      </c>
      <c r="G151" s="17">
        <v>166</v>
      </c>
    </row>
    <row r="152" spans="1:7" ht="15" customHeight="1" x14ac:dyDescent="0.3">
      <c r="A152" s="17" t="s">
        <v>172</v>
      </c>
      <c r="B152" s="17" t="s">
        <v>117</v>
      </c>
      <c r="C152" s="17">
        <v>88.2</v>
      </c>
      <c r="D152" s="17">
        <v>9.6</v>
      </c>
      <c r="E152" s="17">
        <v>1</v>
      </c>
      <c r="F152" s="17">
        <v>0</v>
      </c>
      <c r="G152" s="17">
        <v>61</v>
      </c>
    </row>
    <row r="153" spans="1:7" ht="15" customHeight="1" x14ac:dyDescent="0.3">
      <c r="A153" s="17" t="s">
        <v>173</v>
      </c>
      <c r="B153" s="17" t="s">
        <v>117</v>
      </c>
      <c r="C153" s="17">
        <v>63.8</v>
      </c>
      <c r="D153" s="17">
        <v>20.2</v>
      </c>
      <c r="E153" s="17">
        <v>6</v>
      </c>
      <c r="F153" s="17">
        <v>1</v>
      </c>
      <c r="G153" s="17">
        <v>64</v>
      </c>
    </row>
    <row r="154" spans="1:7" ht="15" customHeight="1" x14ac:dyDescent="0.3">
      <c r="A154" s="17" t="s">
        <v>174</v>
      </c>
      <c r="B154" s="17" t="s">
        <v>117</v>
      </c>
      <c r="C154" s="17">
        <v>49.6</v>
      </c>
      <c r="D154" s="17">
        <v>12.6</v>
      </c>
      <c r="E154" s="17">
        <v>7</v>
      </c>
      <c r="F154" s="17">
        <v>3</v>
      </c>
      <c r="G154" s="17">
        <v>92</v>
      </c>
    </row>
    <row r="155" spans="1:7" ht="15" customHeight="1" x14ac:dyDescent="0.3">
      <c r="A155" s="17" t="s">
        <v>175</v>
      </c>
      <c r="B155" s="17" t="s">
        <v>117</v>
      </c>
      <c r="C155" s="17">
        <v>72.400000000000006</v>
      </c>
      <c r="D155" s="17">
        <v>19.899999999999999</v>
      </c>
      <c r="E155" s="17">
        <v>7</v>
      </c>
      <c r="F155" s="17">
        <v>2</v>
      </c>
      <c r="G155" s="17">
        <v>46</v>
      </c>
    </row>
    <row r="156" spans="1:7" ht="15" customHeight="1" x14ac:dyDescent="0.3">
      <c r="A156" s="17" t="s">
        <v>176</v>
      </c>
      <c r="B156" s="17" t="s">
        <v>117</v>
      </c>
      <c r="C156" s="17">
        <v>67.2</v>
      </c>
      <c r="D156" s="17">
        <v>17.5</v>
      </c>
      <c r="E156" s="17">
        <v>9</v>
      </c>
      <c r="F156" s="17">
        <v>2</v>
      </c>
      <c r="G156" s="17">
        <v>133</v>
      </c>
    </row>
    <row r="157" spans="1:7" ht="15" customHeight="1" x14ac:dyDescent="0.3">
      <c r="A157" s="17" t="s">
        <v>177</v>
      </c>
      <c r="B157" s="17" t="s">
        <v>117</v>
      </c>
      <c r="C157" s="17">
        <v>80.599999999999994</v>
      </c>
      <c r="D157" s="17">
        <v>9.1999999999999993</v>
      </c>
      <c r="E157" s="17">
        <v>3</v>
      </c>
      <c r="F157" s="17">
        <v>0</v>
      </c>
      <c r="G157" s="17">
        <v>32</v>
      </c>
    </row>
    <row r="158" spans="1:7" ht="15" customHeight="1" x14ac:dyDescent="0.3">
      <c r="A158" s="17" t="s">
        <v>178</v>
      </c>
      <c r="B158" s="17" t="s">
        <v>117</v>
      </c>
      <c r="C158" s="17">
        <v>57.3</v>
      </c>
      <c r="D158" s="17">
        <v>12.4</v>
      </c>
      <c r="E158" s="17">
        <v>6</v>
      </c>
      <c r="F158" s="17">
        <v>2</v>
      </c>
      <c r="G158" s="17">
        <v>68</v>
      </c>
    </row>
    <row r="159" spans="1:7" ht="15" customHeight="1" x14ac:dyDescent="0.3">
      <c r="A159" s="17" t="s">
        <v>179</v>
      </c>
      <c r="B159" s="17" t="s">
        <v>117</v>
      </c>
      <c r="C159" s="17">
        <v>65.3</v>
      </c>
      <c r="D159" s="17">
        <v>15.3</v>
      </c>
      <c r="E159" s="17">
        <v>4</v>
      </c>
      <c r="F159" s="17">
        <v>1</v>
      </c>
      <c r="G159" s="17">
        <v>45</v>
      </c>
    </row>
    <row r="160" spans="1:7" ht="15" customHeight="1" x14ac:dyDescent="0.3">
      <c r="A160" s="17" t="s">
        <v>180</v>
      </c>
      <c r="B160" s="17" t="s">
        <v>117</v>
      </c>
      <c r="C160" s="17">
        <v>71.2</v>
      </c>
      <c r="D160" s="17">
        <v>13.3</v>
      </c>
      <c r="E160" s="17">
        <v>6</v>
      </c>
      <c r="F160" s="17">
        <v>4</v>
      </c>
      <c r="G160" s="17">
        <v>12</v>
      </c>
    </row>
    <row r="161" spans="1:7" ht="15" customHeight="1" x14ac:dyDescent="0.3">
      <c r="A161" s="17" t="s">
        <v>181</v>
      </c>
      <c r="B161" s="17" t="s">
        <v>117</v>
      </c>
      <c r="C161" s="17">
        <v>65.7</v>
      </c>
      <c r="D161" s="17">
        <v>12.8</v>
      </c>
      <c r="E161" s="17">
        <v>6</v>
      </c>
      <c r="F161" s="17">
        <v>1</v>
      </c>
      <c r="G161" s="17">
        <v>32</v>
      </c>
    </row>
    <row r="162" spans="1:7" ht="15" customHeight="1" x14ac:dyDescent="0.3">
      <c r="A162" s="17" t="s">
        <v>182</v>
      </c>
      <c r="B162" s="17" t="s">
        <v>117</v>
      </c>
      <c r="C162" s="17">
        <v>57</v>
      </c>
      <c r="D162" s="17">
        <v>9.6</v>
      </c>
      <c r="E162" s="17">
        <v>2</v>
      </c>
      <c r="F162" s="17">
        <v>0</v>
      </c>
      <c r="G162" s="17">
        <v>37</v>
      </c>
    </row>
    <row r="163" spans="1:7" ht="15" customHeight="1" x14ac:dyDescent="0.3">
      <c r="A163" s="17" t="s">
        <v>183</v>
      </c>
      <c r="B163" s="17" t="s">
        <v>117</v>
      </c>
      <c r="C163" s="17">
        <v>63.8</v>
      </c>
      <c r="D163" s="17">
        <v>11.6</v>
      </c>
      <c r="E163" s="17">
        <v>7</v>
      </c>
      <c r="F163" s="17">
        <v>2</v>
      </c>
      <c r="G163" s="17">
        <v>63</v>
      </c>
    </row>
    <row r="164" spans="1:7" ht="15" customHeight="1" x14ac:dyDescent="0.3">
      <c r="A164" s="17" t="s">
        <v>184</v>
      </c>
      <c r="B164" s="17" t="s">
        <v>117</v>
      </c>
      <c r="C164" s="17">
        <v>67</v>
      </c>
      <c r="D164" s="17">
        <v>11.8</v>
      </c>
      <c r="E164" s="17">
        <v>7</v>
      </c>
      <c r="F164" s="17">
        <v>2</v>
      </c>
      <c r="G164" s="17">
        <v>48</v>
      </c>
    </row>
    <row r="165" spans="1:7" ht="15" customHeight="1" x14ac:dyDescent="0.3">
      <c r="A165" s="17" t="s">
        <v>185</v>
      </c>
      <c r="B165" s="17" t="s">
        <v>117</v>
      </c>
      <c r="C165" s="17">
        <v>73</v>
      </c>
      <c r="D165" s="17">
        <v>11.3</v>
      </c>
      <c r="E165" s="17">
        <v>3</v>
      </c>
      <c r="F165" s="17">
        <v>1</v>
      </c>
      <c r="G165" s="17">
        <v>143</v>
      </c>
    </row>
    <row r="166" spans="1:7" ht="15" customHeight="1" x14ac:dyDescent="0.3">
      <c r="A166" s="17" t="s">
        <v>186</v>
      </c>
      <c r="B166" s="17" t="s">
        <v>117</v>
      </c>
      <c r="C166" s="17">
        <v>60.4</v>
      </c>
      <c r="D166" s="17">
        <v>19.2</v>
      </c>
      <c r="E166" s="17">
        <v>6</v>
      </c>
      <c r="F166" s="17">
        <v>1</v>
      </c>
      <c r="G166" s="17">
        <v>28</v>
      </c>
    </row>
    <row r="167" spans="1:7" ht="15" customHeight="1" x14ac:dyDescent="0.3">
      <c r="A167" s="17" t="s">
        <v>187</v>
      </c>
      <c r="B167" s="17" t="s">
        <v>117</v>
      </c>
      <c r="C167" s="17">
        <v>80.599999999999994</v>
      </c>
      <c r="D167" s="17">
        <v>10.8</v>
      </c>
      <c r="E167" s="17">
        <v>6</v>
      </c>
      <c r="F167" s="17">
        <v>2</v>
      </c>
      <c r="G167" s="17">
        <v>29</v>
      </c>
    </row>
    <row r="168" spans="1:7" ht="15" customHeight="1" x14ac:dyDescent="0.3">
      <c r="A168" s="17" t="s">
        <v>188</v>
      </c>
      <c r="B168" s="17" t="s">
        <v>117</v>
      </c>
      <c r="C168" s="17">
        <v>76.599999999999994</v>
      </c>
      <c r="D168" s="17">
        <v>13.9</v>
      </c>
      <c r="E168" s="17">
        <v>7</v>
      </c>
      <c r="F168" s="17">
        <v>1</v>
      </c>
      <c r="G168" s="17">
        <v>33</v>
      </c>
    </row>
    <row r="169" spans="1:7" ht="15" customHeight="1" x14ac:dyDescent="0.3">
      <c r="A169" s="17" t="s">
        <v>189</v>
      </c>
      <c r="B169" s="17" t="s">
        <v>117</v>
      </c>
      <c r="C169" s="17">
        <v>74.8</v>
      </c>
      <c r="D169" s="17">
        <v>21.2</v>
      </c>
      <c r="E169" s="17">
        <v>3</v>
      </c>
      <c r="F169" s="17">
        <v>1</v>
      </c>
      <c r="G169" s="17">
        <v>48</v>
      </c>
    </row>
    <row r="170" spans="1:7" ht="15" customHeight="1" x14ac:dyDescent="0.3">
      <c r="A170" s="17" t="s">
        <v>190</v>
      </c>
      <c r="B170" s="17" t="s">
        <v>117</v>
      </c>
      <c r="C170" s="17">
        <v>76.2</v>
      </c>
      <c r="D170" s="17">
        <v>14.6</v>
      </c>
      <c r="E170" s="17">
        <v>9</v>
      </c>
      <c r="F170" s="17">
        <v>7</v>
      </c>
      <c r="G170" s="17">
        <v>10</v>
      </c>
    </row>
    <row r="171" spans="1:7" ht="15" customHeight="1" x14ac:dyDescent="0.3">
      <c r="A171" s="17" t="s">
        <v>191</v>
      </c>
      <c r="B171" s="17" t="s">
        <v>117</v>
      </c>
      <c r="C171" s="17">
        <v>61.6</v>
      </c>
      <c r="D171" s="17">
        <v>11.5</v>
      </c>
      <c r="E171" s="17">
        <v>3</v>
      </c>
      <c r="F171" s="17">
        <v>1</v>
      </c>
      <c r="G171" s="17">
        <v>74</v>
      </c>
    </row>
    <row r="172" spans="1:7" ht="15" customHeight="1" x14ac:dyDescent="0.3">
      <c r="A172" s="17" t="s">
        <v>192</v>
      </c>
      <c r="B172" s="17" t="s">
        <v>117</v>
      </c>
      <c r="C172" s="17">
        <v>81.2</v>
      </c>
      <c r="D172" s="17">
        <v>8.1999999999999993</v>
      </c>
      <c r="E172" s="17">
        <v>7</v>
      </c>
      <c r="F172" s="17">
        <v>4</v>
      </c>
      <c r="G172" s="17">
        <v>33</v>
      </c>
    </row>
    <row r="173" spans="1:7" ht="15" customHeight="1" x14ac:dyDescent="0.3">
      <c r="A173" s="17" t="s">
        <v>193</v>
      </c>
      <c r="B173" s="17" t="s">
        <v>117</v>
      </c>
      <c r="C173" s="17">
        <v>78.900000000000006</v>
      </c>
      <c r="D173" s="17">
        <v>16.5</v>
      </c>
      <c r="E173" s="17">
        <v>5</v>
      </c>
      <c r="F173" s="17">
        <v>1</v>
      </c>
      <c r="G173" s="17">
        <v>35</v>
      </c>
    </row>
    <row r="174" spans="1:7" ht="15" customHeight="1" x14ac:dyDescent="0.3">
      <c r="A174" s="17" t="s">
        <v>194</v>
      </c>
      <c r="B174" s="17" t="s">
        <v>117</v>
      </c>
      <c r="C174" s="17">
        <v>66.099999999999994</v>
      </c>
      <c r="D174" s="17">
        <v>15.6</v>
      </c>
      <c r="E174" s="17">
        <v>6</v>
      </c>
      <c r="F174" s="17">
        <v>0</v>
      </c>
      <c r="G174" s="17">
        <v>91</v>
      </c>
    </row>
    <row r="175" spans="1:7" ht="15" customHeight="1" x14ac:dyDescent="0.3">
      <c r="A175" s="17" t="s">
        <v>195</v>
      </c>
      <c r="B175" s="17" t="s">
        <v>117</v>
      </c>
      <c r="C175" s="17">
        <v>80.7</v>
      </c>
      <c r="D175" s="17">
        <v>19.3</v>
      </c>
      <c r="E175" s="17">
        <v>5</v>
      </c>
      <c r="F175" s="17">
        <v>2</v>
      </c>
      <c r="G175" s="17">
        <v>16</v>
      </c>
    </row>
    <row r="176" spans="1:7" ht="15" customHeight="1" x14ac:dyDescent="0.3">
      <c r="A176" s="17" t="s">
        <v>196</v>
      </c>
      <c r="B176" s="17" t="s">
        <v>117</v>
      </c>
      <c r="C176" s="17">
        <v>73.5</v>
      </c>
      <c r="D176" s="17">
        <v>15</v>
      </c>
      <c r="E176" s="17">
        <v>4</v>
      </c>
      <c r="F176" s="17">
        <v>1</v>
      </c>
      <c r="G176" s="17">
        <v>141</v>
      </c>
    </row>
    <row r="177" spans="1:7" ht="15" customHeight="1" x14ac:dyDescent="0.3">
      <c r="A177" s="17" t="s">
        <v>197</v>
      </c>
      <c r="B177" s="17" t="s">
        <v>117</v>
      </c>
      <c r="C177" s="17">
        <v>80.8</v>
      </c>
      <c r="D177" s="17">
        <v>8.8000000000000007</v>
      </c>
      <c r="E177" s="17">
        <v>5</v>
      </c>
      <c r="F177" s="17">
        <v>1</v>
      </c>
      <c r="G177" s="17">
        <v>101</v>
      </c>
    </row>
    <row r="178" spans="1:7" ht="15" customHeight="1" x14ac:dyDescent="0.3">
      <c r="A178" s="17" t="s">
        <v>198</v>
      </c>
      <c r="B178" s="17" t="s">
        <v>117</v>
      </c>
      <c r="C178" s="17">
        <v>69.2</v>
      </c>
      <c r="D178" s="17">
        <v>16.2</v>
      </c>
      <c r="E178" s="17">
        <v>7</v>
      </c>
      <c r="F178" s="17">
        <v>0</v>
      </c>
      <c r="G178" s="17">
        <v>88</v>
      </c>
    </row>
    <row r="179" spans="1:7" ht="15" customHeight="1" x14ac:dyDescent="0.3">
      <c r="A179" s="17" t="s">
        <v>199</v>
      </c>
      <c r="B179" s="17" t="s">
        <v>117</v>
      </c>
      <c r="C179" s="17">
        <v>86.6</v>
      </c>
      <c r="D179" s="17">
        <v>24.5</v>
      </c>
      <c r="E179" s="17">
        <v>6</v>
      </c>
      <c r="F179" s="17">
        <v>0</v>
      </c>
      <c r="G179" s="17">
        <v>93</v>
      </c>
    </row>
    <row r="180" spans="1:7" ht="15" customHeight="1" x14ac:dyDescent="0.3">
      <c r="A180" s="17" t="s">
        <v>200</v>
      </c>
      <c r="B180" s="17" t="s">
        <v>117</v>
      </c>
      <c r="C180" s="17">
        <v>72.7</v>
      </c>
      <c r="D180" s="17">
        <v>24.1</v>
      </c>
      <c r="E180" s="17">
        <v>6</v>
      </c>
      <c r="F180" s="17">
        <v>4</v>
      </c>
      <c r="G180" s="17">
        <v>14</v>
      </c>
    </row>
    <row r="181" spans="1:7" ht="15" customHeight="1" x14ac:dyDescent="0.3">
      <c r="A181" s="17" t="s">
        <v>201</v>
      </c>
      <c r="B181" s="17" t="s">
        <v>117</v>
      </c>
      <c r="C181" s="17">
        <v>86.1</v>
      </c>
      <c r="D181" s="17">
        <v>9.4</v>
      </c>
      <c r="E181" s="17">
        <v>2</v>
      </c>
      <c r="F181" s="17">
        <v>1</v>
      </c>
      <c r="G181" s="17">
        <v>150</v>
      </c>
    </row>
    <row r="182" spans="1:7" ht="15" customHeight="1" x14ac:dyDescent="0.3">
      <c r="A182" s="17" t="s">
        <v>202</v>
      </c>
      <c r="B182" s="17" t="s">
        <v>117</v>
      </c>
      <c r="C182" s="17">
        <v>80</v>
      </c>
      <c r="D182" s="17">
        <v>15.7</v>
      </c>
      <c r="E182" s="17">
        <v>8</v>
      </c>
      <c r="F182" s="17">
        <v>2</v>
      </c>
      <c r="G182" s="17">
        <v>42</v>
      </c>
    </row>
    <row r="183" spans="1:7" ht="15" customHeight="1" x14ac:dyDescent="0.3">
      <c r="A183" s="17" t="s">
        <v>203</v>
      </c>
      <c r="B183" s="17" t="s">
        <v>117</v>
      </c>
      <c r="C183" s="17">
        <v>94.3</v>
      </c>
      <c r="D183" s="17">
        <v>8.6999999999999993</v>
      </c>
      <c r="E183" s="17">
        <v>4</v>
      </c>
      <c r="F183" s="17">
        <v>0</v>
      </c>
      <c r="G183" s="17">
        <v>27</v>
      </c>
    </row>
    <row r="184" spans="1:7" ht="15" customHeight="1" x14ac:dyDescent="0.3">
      <c r="A184" s="17" t="s">
        <v>204</v>
      </c>
      <c r="B184" s="17" t="s">
        <v>117</v>
      </c>
      <c r="C184" s="17">
        <v>72.599999999999994</v>
      </c>
      <c r="D184" s="17">
        <v>16.3</v>
      </c>
      <c r="E184" s="17">
        <v>5</v>
      </c>
      <c r="F184" s="17">
        <v>1</v>
      </c>
      <c r="G184" s="17">
        <v>83</v>
      </c>
    </row>
    <row r="185" spans="1:7" ht="15" customHeight="1" x14ac:dyDescent="0.3">
      <c r="A185" s="17" t="s">
        <v>205</v>
      </c>
      <c r="B185" s="17" t="s">
        <v>206</v>
      </c>
      <c r="C185" s="17">
        <v>77.400000000000006</v>
      </c>
      <c r="D185" s="17">
        <v>21.6</v>
      </c>
      <c r="E185" s="17">
        <v>6</v>
      </c>
      <c r="F185" s="17">
        <v>1</v>
      </c>
      <c r="G185" s="17">
        <v>24</v>
      </c>
    </row>
    <row r="186" spans="1:7" ht="15" customHeight="1" x14ac:dyDescent="0.3">
      <c r="A186" s="17" t="s">
        <v>207</v>
      </c>
      <c r="B186" s="17" t="s">
        <v>206</v>
      </c>
      <c r="C186" s="17">
        <v>80.3</v>
      </c>
      <c r="D186" s="17">
        <v>22</v>
      </c>
      <c r="E186" s="17">
        <v>6</v>
      </c>
      <c r="F186" s="17">
        <v>2</v>
      </c>
      <c r="G186" s="17">
        <v>133</v>
      </c>
    </row>
    <row r="187" spans="1:7" ht="15" customHeight="1" x14ac:dyDescent="0.3">
      <c r="A187" s="17" t="s">
        <v>208</v>
      </c>
      <c r="B187" s="17" t="s">
        <v>206</v>
      </c>
      <c r="C187" s="17">
        <v>80.099999999999994</v>
      </c>
      <c r="D187" s="17">
        <v>14.7</v>
      </c>
      <c r="E187" s="17">
        <v>3</v>
      </c>
      <c r="F187" s="17">
        <v>1</v>
      </c>
      <c r="G187" s="17">
        <v>33</v>
      </c>
    </row>
    <row r="188" spans="1:7" ht="15" customHeight="1" x14ac:dyDescent="0.3">
      <c r="A188" s="17" t="s">
        <v>209</v>
      </c>
      <c r="B188" s="17" t="s">
        <v>206</v>
      </c>
      <c r="C188" s="17">
        <v>64.099999999999994</v>
      </c>
      <c r="D188" s="17">
        <v>16.5</v>
      </c>
      <c r="E188" s="17">
        <v>5</v>
      </c>
      <c r="F188" s="17">
        <v>1</v>
      </c>
      <c r="G188" s="17">
        <v>30</v>
      </c>
    </row>
    <row r="189" spans="1:7" ht="15" customHeight="1" x14ac:dyDescent="0.3">
      <c r="A189" s="17" t="s">
        <v>210</v>
      </c>
      <c r="B189" s="17" t="s">
        <v>206</v>
      </c>
      <c r="C189" s="17">
        <v>73.8</v>
      </c>
      <c r="D189" s="17">
        <v>16</v>
      </c>
      <c r="E189" s="17">
        <v>7</v>
      </c>
      <c r="F189" s="17">
        <v>3</v>
      </c>
      <c r="G189" s="17">
        <v>23</v>
      </c>
    </row>
    <row r="190" spans="1:7" ht="15" customHeight="1" x14ac:dyDescent="0.3">
      <c r="A190" s="17" t="s">
        <v>211</v>
      </c>
      <c r="B190" s="17" t="s">
        <v>206</v>
      </c>
      <c r="C190" s="17">
        <v>74.8</v>
      </c>
      <c r="D190" s="17">
        <v>19.5</v>
      </c>
      <c r="E190" s="17">
        <v>5</v>
      </c>
      <c r="F190" s="17">
        <v>1</v>
      </c>
      <c r="G190" s="17">
        <v>88</v>
      </c>
    </row>
    <row r="191" spans="1:7" ht="15" customHeight="1" x14ac:dyDescent="0.3">
      <c r="A191" s="17" t="s">
        <v>212</v>
      </c>
      <c r="B191" s="17" t="s">
        <v>206</v>
      </c>
      <c r="C191" s="17">
        <v>77.599999999999994</v>
      </c>
      <c r="D191" s="17">
        <v>14.6</v>
      </c>
      <c r="E191" s="17">
        <v>2</v>
      </c>
      <c r="F191" s="17">
        <v>1</v>
      </c>
      <c r="G191" s="17">
        <v>58</v>
      </c>
    </row>
    <row r="192" spans="1:7" ht="15" customHeight="1" x14ac:dyDescent="0.3">
      <c r="A192" s="17" t="s">
        <v>213</v>
      </c>
      <c r="B192" s="17" t="s">
        <v>206</v>
      </c>
      <c r="C192" s="17">
        <v>78.2</v>
      </c>
      <c r="D192" s="17">
        <v>18.100000000000001</v>
      </c>
      <c r="E192" s="17">
        <v>3</v>
      </c>
      <c r="F192" s="17">
        <v>2</v>
      </c>
      <c r="G192" s="17">
        <v>23</v>
      </c>
    </row>
    <row r="193" spans="1:7" ht="15" customHeight="1" x14ac:dyDescent="0.3">
      <c r="A193" s="17" t="s">
        <v>214</v>
      </c>
      <c r="B193" s="17" t="s">
        <v>206</v>
      </c>
      <c r="C193" s="17">
        <v>71.2</v>
      </c>
      <c r="D193" s="17">
        <v>23.6</v>
      </c>
      <c r="E193" s="17">
        <v>4</v>
      </c>
      <c r="F193" s="17">
        <v>0</v>
      </c>
      <c r="G193" s="17">
        <v>117</v>
      </c>
    </row>
    <row r="194" spans="1:7" ht="15" customHeight="1" x14ac:dyDescent="0.3">
      <c r="A194" s="17" t="s">
        <v>215</v>
      </c>
      <c r="B194" s="17" t="s">
        <v>206</v>
      </c>
      <c r="C194" s="17">
        <v>71.5</v>
      </c>
      <c r="D194" s="17">
        <v>16.7</v>
      </c>
      <c r="E194" s="17">
        <v>10</v>
      </c>
      <c r="F194" s="17">
        <v>2</v>
      </c>
      <c r="G194" s="17">
        <v>80</v>
      </c>
    </row>
    <row r="195" spans="1:7" ht="15" customHeight="1" x14ac:dyDescent="0.3">
      <c r="A195" s="17" t="s">
        <v>216</v>
      </c>
      <c r="B195" s="17" t="s">
        <v>206</v>
      </c>
      <c r="C195" s="17">
        <v>75.400000000000006</v>
      </c>
      <c r="D195" s="17">
        <v>17.2</v>
      </c>
      <c r="E195" s="17">
        <v>3</v>
      </c>
      <c r="F195" s="17">
        <v>0</v>
      </c>
      <c r="G195" s="17">
        <v>233</v>
      </c>
    </row>
    <row r="196" spans="1:7" ht="15" customHeight="1" x14ac:dyDescent="0.3">
      <c r="A196" s="17" t="s">
        <v>217</v>
      </c>
      <c r="B196" s="17" t="s">
        <v>206</v>
      </c>
      <c r="C196" s="17">
        <v>66.8</v>
      </c>
      <c r="D196" s="17">
        <v>15.1</v>
      </c>
      <c r="E196" s="17">
        <v>7</v>
      </c>
      <c r="F196" s="17">
        <v>1</v>
      </c>
      <c r="G196" s="17">
        <v>134</v>
      </c>
    </row>
    <row r="197" spans="1:7" ht="15" customHeight="1" x14ac:dyDescent="0.3">
      <c r="A197" s="17" t="s">
        <v>218</v>
      </c>
      <c r="B197" s="17" t="s">
        <v>206</v>
      </c>
      <c r="C197" s="17">
        <v>80.3</v>
      </c>
      <c r="D197" s="17">
        <v>13.2</v>
      </c>
      <c r="E197" s="17">
        <v>5</v>
      </c>
      <c r="F197" s="17">
        <v>2</v>
      </c>
      <c r="G197" s="17">
        <v>67</v>
      </c>
    </row>
    <row r="198" spans="1:7" ht="15" customHeight="1" x14ac:dyDescent="0.3">
      <c r="A198" s="17" t="s">
        <v>219</v>
      </c>
      <c r="B198" s="17" t="s">
        <v>206</v>
      </c>
      <c r="C198" s="17">
        <v>74.8</v>
      </c>
      <c r="D198" s="17">
        <v>21.4</v>
      </c>
      <c r="E198" s="17">
        <v>6</v>
      </c>
      <c r="F198" s="17">
        <v>3</v>
      </c>
      <c r="G198" s="17">
        <v>47</v>
      </c>
    </row>
    <row r="199" spans="1:7" ht="15" customHeight="1" x14ac:dyDescent="0.3">
      <c r="A199" s="17" t="s">
        <v>220</v>
      </c>
      <c r="B199" s="17" t="s">
        <v>206</v>
      </c>
      <c r="C199" s="17">
        <v>77.2</v>
      </c>
      <c r="D199" s="17">
        <v>23.1</v>
      </c>
      <c r="E199" s="17">
        <v>5</v>
      </c>
      <c r="F199" s="17">
        <v>1</v>
      </c>
      <c r="G199" s="17">
        <v>46</v>
      </c>
    </row>
    <row r="200" spans="1:7" ht="15" customHeight="1" x14ac:dyDescent="0.3">
      <c r="A200" s="17" t="s">
        <v>221</v>
      </c>
      <c r="B200" s="17" t="s">
        <v>206</v>
      </c>
      <c r="C200" s="17">
        <v>79.7</v>
      </c>
      <c r="D200" s="17">
        <v>6.4</v>
      </c>
      <c r="E200" s="17">
        <v>4</v>
      </c>
      <c r="F200" s="17">
        <v>2</v>
      </c>
      <c r="G200" s="17">
        <v>31</v>
      </c>
    </row>
    <row r="201" spans="1:7" ht="15" customHeight="1" x14ac:dyDescent="0.3">
      <c r="A201" s="17" t="s">
        <v>222</v>
      </c>
      <c r="B201" s="17" t="s">
        <v>206</v>
      </c>
      <c r="C201" s="17">
        <v>75.599999999999994</v>
      </c>
      <c r="D201" s="17">
        <v>15.4</v>
      </c>
      <c r="E201" s="17">
        <v>4</v>
      </c>
      <c r="F201" s="17">
        <v>0</v>
      </c>
      <c r="G201" s="17">
        <v>38</v>
      </c>
    </row>
    <row r="202" spans="1:7" ht="15" customHeight="1" x14ac:dyDescent="0.3">
      <c r="A202" s="17" t="s">
        <v>223</v>
      </c>
      <c r="B202" s="17" t="s">
        <v>206</v>
      </c>
      <c r="C202" s="17">
        <v>82.7</v>
      </c>
      <c r="D202" s="17">
        <v>12.3</v>
      </c>
      <c r="E202" s="17">
        <v>4</v>
      </c>
      <c r="F202" s="17">
        <v>1</v>
      </c>
      <c r="G202" s="17">
        <v>24</v>
      </c>
    </row>
    <row r="203" spans="1:7" ht="15" customHeight="1" x14ac:dyDescent="0.3">
      <c r="A203" s="17" t="s">
        <v>224</v>
      </c>
      <c r="B203" s="17" t="s">
        <v>206</v>
      </c>
      <c r="C203" s="17">
        <v>77.7</v>
      </c>
      <c r="D203" s="17">
        <v>14.8</v>
      </c>
      <c r="E203" s="17">
        <v>3</v>
      </c>
      <c r="F203" s="17">
        <v>1</v>
      </c>
      <c r="G203" s="17">
        <v>109</v>
      </c>
    </row>
    <row r="204" spans="1:7" ht="15" customHeight="1" x14ac:dyDescent="0.3">
      <c r="A204" s="17" t="s">
        <v>225</v>
      </c>
      <c r="B204" s="17" t="s">
        <v>206</v>
      </c>
      <c r="C204" s="17">
        <v>74.900000000000006</v>
      </c>
      <c r="D204" s="17">
        <v>8.5</v>
      </c>
      <c r="E204" s="17">
        <v>7</v>
      </c>
      <c r="F204" s="17">
        <v>3</v>
      </c>
      <c r="G204" s="17">
        <v>146</v>
      </c>
    </row>
    <row r="205" spans="1:7" ht="15" customHeight="1" x14ac:dyDescent="0.3">
      <c r="A205" s="17" t="s">
        <v>226</v>
      </c>
      <c r="B205" s="17" t="s">
        <v>206</v>
      </c>
      <c r="C205" s="17">
        <v>79.7</v>
      </c>
      <c r="D205" s="17">
        <v>12.7</v>
      </c>
      <c r="E205" s="17">
        <v>3</v>
      </c>
      <c r="F205" s="17">
        <v>1</v>
      </c>
      <c r="G205" s="17">
        <v>47</v>
      </c>
    </row>
    <row r="206" spans="1:7" ht="15" customHeight="1" x14ac:dyDescent="0.3">
      <c r="A206" s="17" t="s">
        <v>227</v>
      </c>
      <c r="B206" s="17" t="s">
        <v>206</v>
      </c>
      <c r="C206" s="17">
        <v>70.3</v>
      </c>
      <c r="D206" s="17">
        <v>22.3</v>
      </c>
      <c r="E206" s="17">
        <v>9</v>
      </c>
      <c r="F206" s="17">
        <v>4</v>
      </c>
      <c r="G206" s="17">
        <v>9</v>
      </c>
    </row>
    <row r="207" spans="1:7" ht="15" customHeight="1" x14ac:dyDescent="0.3">
      <c r="A207" s="17" t="s">
        <v>228</v>
      </c>
      <c r="B207" s="17" t="s">
        <v>206</v>
      </c>
      <c r="C207" s="17">
        <v>69.3</v>
      </c>
      <c r="D207" s="17">
        <v>9.6</v>
      </c>
      <c r="E207" s="17">
        <v>6</v>
      </c>
      <c r="F207" s="17">
        <v>2</v>
      </c>
      <c r="G207" s="17">
        <v>63</v>
      </c>
    </row>
    <row r="208" spans="1:7" ht="15" customHeight="1" x14ac:dyDescent="0.3">
      <c r="A208" s="17" t="s">
        <v>229</v>
      </c>
      <c r="B208" s="17" t="s">
        <v>206</v>
      </c>
      <c r="C208" s="17">
        <v>71.599999999999994</v>
      </c>
      <c r="D208" s="17">
        <v>20.9</v>
      </c>
      <c r="E208" s="17">
        <v>9</v>
      </c>
      <c r="F208" s="17">
        <v>3</v>
      </c>
      <c r="G208" s="17">
        <v>119</v>
      </c>
    </row>
    <row r="209" spans="1:7" ht="15" customHeight="1" x14ac:dyDescent="0.3">
      <c r="A209" s="17" t="s">
        <v>230</v>
      </c>
      <c r="B209" s="17" t="s">
        <v>206</v>
      </c>
      <c r="C209" s="17">
        <v>77.8</v>
      </c>
      <c r="D209" s="17">
        <v>19.5</v>
      </c>
      <c r="E209" s="17">
        <v>5</v>
      </c>
      <c r="F209" s="17">
        <v>2</v>
      </c>
      <c r="G209" s="17">
        <v>54</v>
      </c>
    </row>
    <row r="210" spans="1:7" ht="15" customHeight="1" x14ac:dyDescent="0.3">
      <c r="A210" s="17" t="s">
        <v>231</v>
      </c>
      <c r="B210" s="17" t="s">
        <v>206</v>
      </c>
      <c r="C210" s="17">
        <v>70.8</v>
      </c>
      <c r="D210" s="17">
        <v>7.8</v>
      </c>
      <c r="E210" s="17">
        <v>3</v>
      </c>
      <c r="F210" s="17">
        <v>0</v>
      </c>
      <c r="G210" s="17">
        <v>115</v>
      </c>
    </row>
    <row r="211" spans="1:7" ht="15" customHeight="1" x14ac:dyDescent="0.3">
      <c r="A211" s="17" t="s">
        <v>232</v>
      </c>
      <c r="B211" s="17" t="s">
        <v>206</v>
      </c>
      <c r="C211" s="17">
        <v>74.400000000000006</v>
      </c>
      <c r="D211" s="17">
        <v>20.2</v>
      </c>
      <c r="E211" s="17">
        <v>3</v>
      </c>
      <c r="F211" s="17">
        <v>1</v>
      </c>
      <c r="G211" s="17">
        <v>59</v>
      </c>
    </row>
    <row r="212" spans="1:7" ht="15" customHeight="1" x14ac:dyDescent="0.3">
      <c r="A212" s="17" t="s">
        <v>233</v>
      </c>
      <c r="B212" s="17" t="s">
        <v>206</v>
      </c>
      <c r="C212" s="17">
        <v>75.400000000000006</v>
      </c>
      <c r="D212" s="17">
        <v>10.4</v>
      </c>
      <c r="E212" s="17">
        <v>6</v>
      </c>
      <c r="F212" s="17">
        <v>2</v>
      </c>
      <c r="G212" s="17">
        <v>85</v>
      </c>
    </row>
    <row r="213" spans="1:7" ht="15" customHeight="1" x14ac:dyDescent="0.3">
      <c r="A213" s="17" t="s">
        <v>234</v>
      </c>
      <c r="B213" s="17" t="s">
        <v>206</v>
      </c>
      <c r="C213" s="17">
        <v>76.599999999999994</v>
      </c>
      <c r="D213" s="17">
        <v>15.4</v>
      </c>
      <c r="E213" s="17">
        <v>3</v>
      </c>
      <c r="F213" s="17">
        <v>1</v>
      </c>
      <c r="G213" s="17">
        <v>15</v>
      </c>
    </row>
    <row r="214" spans="1:7" ht="15" customHeight="1" x14ac:dyDescent="0.3">
      <c r="A214" s="17" t="s">
        <v>235</v>
      </c>
      <c r="B214" s="17" t="s">
        <v>206</v>
      </c>
      <c r="C214" s="17">
        <v>75.099999999999994</v>
      </c>
      <c r="D214" s="17">
        <v>11.4</v>
      </c>
      <c r="E214" s="17">
        <v>6</v>
      </c>
      <c r="F214" s="17">
        <v>4</v>
      </c>
      <c r="G214" s="17">
        <v>20</v>
      </c>
    </row>
    <row r="215" spans="1:7" ht="15" customHeight="1" x14ac:dyDescent="0.3">
      <c r="A215" s="17" t="s">
        <v>236</v>
      </c>
      <c r="B215" s="17" t="s">
        <v>206</v>
      </c>
      <c r="C215" s="17">
        <v>68.8</v>
      </c>
      <c r="D215" s="17">
        <v>17</v>
      </c>
      <c r="E215" s="17">
        <v>5</v>
      </c>
      <c r="F215" s="17">
        <v>1</v>
      </c>
      <c r="G215" s="17">
        <v>7</v>
      </c>
    </row>
    <row r="216" spans="1:7" ht="15" customHeight="1" x14ac:dyDescent="0.3">
      <c r="A216" s="17" t="s">
        <v>237</v>
      </c>
      <c r="B216" s="17" t="s">
        <v>206</v>
      </c>
      <c r="C216" s="17">
        <v>77.5</v>
      </c>
      <c r="D216" s="17">
        <v>17.100000000000001</v>
      </c>
      <c r="E216" s="17">
        <v>8</v>
      </c>
      <c r="F216" s="17">
        <v>3</v>
      </c>
      <c r="G216" s="17">
        <v>90</v>
      </c>
    </row>
    <row r="217" spans="1:7" ht="15" customHeight="1" x14ac:dyDescent="0.3">
      <c r="A217" s="17" t="s">
        <v>238</v>
      </c>
      <c r="B217" s="17" t="s">
        <v>206</v>
      </c>
      <c r="C217" s="17">
        <v>73</v>
      </c>
      <c r="D217" s="17">
        <v>7</v>
      </c>
      <c r="E217" s="17">
        <v>6</v>
      </c>
      <c r="F217" s="17">
        <v>4</v>
      </c>
      <c r="G217" s="17">
        <v>43</v>
      </c>
    </row>
    <row r="218" spans="1:7" ht="15" customHeight="1" x14ac:dyDescent="0.3">
      <c r="A218" s="17" t="s">
        <v>239</v>
      </c>
      <c r="B218" s="17" t="s">
        <v>206</v>
      </c>
      <c r="C218" s="17">
        <v>80.599999999999994</v>
      </c>
      <c r="D218" s="17">
        <v>8.3000000000000007</v>
      </c>
      <c r="E218" s="17">
        <v>5</v>
      </c>
      <c r="F218" s="17">
        <v>1</v>
      </c>
      <c r="G218" s="17">
        <v>19</v>
      </c>
    </row>
    <row r="219" spans="1:7" ht="15" customHeight="1" x14ac:dyDescent="0.3">
      <c r="A219" s="17" t="s">
        <v>240</v>
      </c>
      <c r="B219" s="17" t="s">
        <v>206</v>
      </c>
      <c r="C219" s="17">
        <v>72.8</v>
      </c>
      <c r="D219" s="17">
        <v>20.3</v>
      </c>
      <c r="E219" s="17">
        <v>2</v>
      </c>
      <c r="F219" s="17">
        <v>0</v>
      </c>
      <c r="G219" s="17">
        <v>37</v>
      </c>
    </row>
    <row r="220" spans="1:7" ht="15" customHeight="1" x14ac:dyDescent="0.3">
      <c r="A220" s="17" t="s">
        <v>241</v>
      </c>
      <c r="B220" s="17" t="s">
        <v>206</v>
      </c>
      <c r="C220" s="17">
        <v>68.099999999999994</v>
      </c>
      <c r="D220" s="17">
        <v>11.4</v>
      </c>
      <c r="E220" s="17">
        <v>11</v>
      </c>
      <c r="F220" s="17">
        <v>3</v>
      </c>
      <c r="G220" s="17">
        <v>27</v>
      </c>
    </row>
    <row r="221" spans="1:7" ht="15" customHeight="1" x14ac:dyDescent="0.3">
      <c r="A221" s="17" t="s">
        <v>242</v>
      </c>
      <c r="B221" s="17" t="s">
        <v>206</v>
      </c>
      <c r="C221" s="17">
        <v>75.599999999999994</v>
      </c>
      <c r="D221" s="17">
        <v>12.7</v>
      </c>
      <c r="E221" s="17">
        <v>4</v>
      </c>
      <c r="F221" s="17">
        <v>3</v>
      </c>
      <c r="G221" s="17">
        <v>21</v>
      </c>
    </row>
    <row r="222" spans="1:7" ht="15" customHeight="1" x14ac:dyDescent="0.3">
      <c r="A222" s="17" t="s">
        <v>243</v>
      </c>
      <c r="B222" s="17" t="s">
        <v>206</v>
      </c>
      <c r="C222" s="17">
        <v>74.2</v>
      </c>
      <c r="D222" s="17">
        <v>14.6</v>
      </c>
      <c r="E222" s="17">
        <v>4</v>
      </c>
      <c r="F222" s="17">
        <v>2</v>
      </c>
      <c r="G222" s="17">
        <v>34</v>
      </c>
    </row>
    <row r="223" spans="1:7" ht="15" customHeight="1" x14ac:dyDescent="0.3">
      <c r="A223" s="17" t="s">
        <v>244</v>
      </c>
      <c r="B223" s="17" t="s">
        <v>206</v>
      </c>
      <c r="C223" s="17">
        <v>83.3</v>
      </c>
      <c r="D223" s="17">
        <v>11</v>
      </c>
      <c r="E223" s="17">
        <v>2</v>
      </c>
      <c r="F223" s="17">
        <v>0</v>
      </c>
      <c r="G223" s="17">
        <v>78</v>
      </c>
    </row>
    <row r="224" spans="1:7" ht="15" customHeight="1" x14ac:dyDescent="0.3">
      <c r="A224" s="17" t="s">
        <v>245</v>
      </c>
      <c r="B224" s="17" t="s">
        <v>206</v>
      </c>
      <c r="C224" s="17">
        <v>68.8</v>
      </c>
      <c r="D224" s="17">
        <v>11.8</v>
      </c>
      <c r="E224" s="17">
        <v>4</v>
      </c>
      <c r="F224" s="17">
        <v>0</v>
      </c>
      <c r="G224" s="17">
        <v>27</v>
      </c>
    </row>
    <row r="225" spans="1:7" ht="15" customHeight="1" x14ac:dyDescent="0.3">
      <c r="A225" s="17" t="s">
        <v>246</v>
      </c>
      <c r="B225" s="17" t="s">
        <v>206</v>
      </c>
      <c r="C225" s="17">
        <v>72.7</v>
      </c>
      <c r="D225" s="17">
        <v>10</v>
      </c>
      <c r="E225" s="17">
        <v>7</v>
      </c>
      <c r="F225" s="17">
        <v>1</v>
      </c>
      <c r="G225" s="17">
        <v>52</v>
      </c>
    </row>
    <row r="226" spans="1:7" ht="15" customHeight="1" x14ac:dyDescent="0.3">
      <c r="A226" s="17" t="s">
        <v>247</v>
      </c>
      <c r="B226" s="17" t="s">
        <v>206</v>
      </c>
      <c r="C226" s="17">
        <v>69</v>
      </c>
      <c r="D226" s="17">
        <v>22.3</v>
      </c>
      <c r="E226" s="17">
        <v>7</v>
      </c>
      <c r="F226" s="17">
        <v>4</v>
      </c>
      <c r="G226" s="17">
        <v>29</v>
      </c>
    </row>
    <row r="227" spans="1:7" ht="15" customHeight="1" x14ac:dyDescent="0.3">
      <c r="A227" s="17" t="s">
        <v>248</v>
      </c>
      <c r="B227" s="17" t="s">
        <v>206</v>
      </c>
      <c r="C227" s="17">
        <v>70.2</v>
      </c>
      <c r="D227" s="17">
        <v>15.5</v>
      </c>
      <c r="E227" s="17">
        <v>5</v>
      </c>
      <c r="F227" s="17">
        <v>1</v>
      </c>
      <c r="G227" s="17">
        <v>43</v>
      </c>
    </row>
    <row r="228" spans="1:7" ht="15" customHeight="1" x14ac:dyDescent="0.3">
      <c r="A228" s="17" t="s">
        <v>249</v>
      </c>
      <c r="B228" s="17" t="s">
        <v>206</v>
      </c>
      <c r="C228" s="17">
        <v>78.099999999999994</v>
      </c>
      <c r="D228" s="17">
        <v>22.4</v>
      </c>
      <c r="E228" s="17">
        <v>6</v>
      </c>
      <c r="F228" s="17">
        <v>2</v>
      </c>
      <c r="G228" s="17">
        <v>39</v>
      </c>
    </row>
    <row r="229" spans="1:7" ht="15" customHeight="1" x14ac:dyDescent="0.3">
      <c r="A229" s="17" t="s">
        <v>250</v>
      </c>
      <c r="B229" s="17" t="s">
        <v>206</v>
      </c>
      <c r="C229" s="17">
        <v>83.6</v>
      </c>
      <c r="D229" s="17">
        <v>17.5</v>
      </c>
      <c r="E229" s="17">
        <v>3</v>
      </c>
      <c r="F229" s="17">
        <v>1</v>
      </c>
      <c r="G229" s="17">
        <v>115</v>
      </c>
    </row>
    <row r="230" spans="1:7" ht="15" customHeight="1" x14ac:dyDescent="0.3">
      <c r="A230" s="17" t="s">
        <v>251</v>
      </c>
      <c r="B230" s="17" t="s">
        <v>206</v>
      </c>
      <c r="C230" s="17">
        <v>78.5</v>
      </c>
      <c r="D230" s="17">
        <v>25.5</v>
      </c>
      <c r="E230" s="17">
        <v>7</v>
      </c>
      <c r="F230" s="17">
        <v>3</v>
      </c>
      <c r="G230" s="17">
        <v>90</v>
      </c>
    </row>
    <row r="231" spans="1:7" ht="15" customHeight="1" x14ac:dyDescent="0.3">
      <c r="A231" s="17" t="s">
        <v>252</v>
      </c>
      <c r="B231" s="17" t="s">
        <v>206</v>
      </c>
      <c r="C231" s="17">
        <v>76.599999999999994</v>
      </c>
      <c r="D231" s="17">
        <v>16.8</v>
      </c>
      <c r="E231" s="17">
        <v>4</v>
      </c>
      <c r="F231" s="17">
        <v>3</v>
      </c>
      <c r="G231" s="17">
        <v>71</v>
      </c>
    </row>
    <row r="232" spans="1:7" ht="15" customHeight="1" x14ac:dyDescent="0.3">
      <c r="A232" s="17" t="s">
        <v>253</v>
      </c>
      <c r="B232" s="17" t="s">
        <v>206</v>
      </c>
      <c r="C232" s="17">
        <v>76.900000000000006</v>
      </c>
      <c r="D232" s="17">
        <v>13.8</v>
      </c>
      <c r="E232" s="17">
        <v>5</v>
      </c>
      <c r="F232" s="17">
        <v>2</v>
      </c>
      <c r="G232" s="17">
        <v>103</v>
      </c>
    </row>
    <row r="233" spans="1:7" ht="15" customHeight="1" x14ac:dyDescent="0.3">
      <c r="A233" s="17" t="s">
        <v>254</v>
      </c>
      <c r="B233" s="17" t="s">
        <v>206</v>
      </c>
      <c r="C233" s="17">
        <v>74.400000000000006</v>
      </c>
      <c r="D233" s="17">
        <v>13.7</v>
      </c>
      <c r="E233" s="17">
        <v>8</v>
      </c>
      <c r="F233" s="17">
        <v>0</v>
      </c>
      <c r="G233" s="17">
        <v>14</v>
      </c>
    </row>
    <row r="234" spans="1:7" ht="15" customHeight="1" x14ac:dyDescent="0.3">
      <c r="A234" s="17" t="s">
        <v>255</v>
      </c>
      <c r="B234" s="17" t="s">
        <v>206</v>
      </c>
      <c r="C234" s="17">
        <v>77.599999999999994</v>
      </c>
      <c r="D234" s="17">
        <v>12</v>
      </c>
      <c r="E234" s="17">
        <v>4</v>
      </c>
      <c r="F234" s="17">
        <v>0</v>
      </c>
      <c r="G234" s="17">
        <v>34</v>
      </c>
    </row>
    <row r="235" spans="1:7" ht="15" customHeight="1" x14ac:dyDescent="0.3">
      <c r="A235" s="17" t="s">
        <v>256</v>
      </c>
      <c r="B235" s="17" t="s">
        <v>206</v>
      </c>
      <c r="C235" s="17">
        <v>75.900000000000006</v>
      </c>
      <c r="D235" s="17">
        <v>21.1</v>
      </c>
      <c r="E235" s="17">
        <v>4</v>
      </c>
      <c r="F235" s="17">
        <v>3</v>
      </c>
      <c r="G235" s="17">
        <v>112</v>
      </c>
    </row>
    <row r="236" spans="1:7" ht="15" customHeight="1" x14ac:dyDescent="0.3">
      <c r="A236" s="17" t="s">
        <v>257</v>
      </c>
      <c r="B236" s="17" t="s">
        <v>206</v>
      </c>
      <c r="C236" s="17">
        <v>79.599999999999994</v>
      </c>
      <c r="D236" s="17">
        <v>31.9</v>
      </c>
      <c r="E236" s="17">
        <v>1</v>
      </c>
      <c r="F236" s="17">
        <v>0</v>
      </c>
      <c r="G236" s="17">
        <v>53</v>
      </c>
    </row>
    <row r="237" spans="1:7" ht="15" customHeight="1" x14ac:dyDescent="0.3">
      <c r="A237" s="17" t="s">
        <v>258</v>
      </c>
      <c r="B237" s="17" t="s">
        <v>206</v>
      </c>
      <c r="C237" s="17">
        <v>73.400000000000006</v>
      </c>
      <c r="D237" s="17">
        <v>23.6</v>
      </c>
      <c r="E237" s="17">
        <v>5</v>
      </c>
      <c r="F237" s="17">
        <v>1</v>
      </c>
      <c r="G237" s="17">
        <v>42</v>
      </c>
    </row>
    <row r="238" spans="1:7" ht="15" customHeight="1" x14ac:dyDescent="0.3">
      <c r="A238" s="17" t="s">
        <v>259</v>
      </c>
      <c r="B238" s="17" t="s">
        <v>206</v>
      </c>
      <c r="C238" s="17">
        <v>78.7</v>
      </c>
      <c r="D238" s="17">
        <v>10.7</v>
      </c>
      <c r="E238" s="17">
        <v>3</v>
      </c>
      <c r="F238" s="17">
        <v>0</v>
      </c>
      <c r="G238" s="17">
        <v>65</v>
      </c>
    </row>
    <row r="239" spans="1:7" ht="15" customHeight="1" x14ac:dyDescent="0.3">
      <c r="A239" s="17" t="s">
        <v>260</v>
      </c>
      <c r="B239" s="17" t="s">
        <v>206</v>
      </c>
      <c r="C239" s="17">
        <v>75.8</v>
      </c>
      <c r="D239" s="17">
        <v>14.9</v>
      </c>
      <c r="E239" s="17">
        <v>6</v>
      </c>
      <c r="F239" s="17">
        <v>3</v>
      </c>
      <c r="G239" s="17">
        <v>41</v>
      </c>
    </row>
    <row r="240" spans="1:7" ht="15" customHeight="1" x14ac:dyDescent="0.3">
      <c r="A240" s="17" t="s">
        <v>261</v>
      </c>
      <c r="B240" s="17" t="s">
        <v>206</v>
      </c>
      <c r="C240" s="17">
        <v>72.7</v>
      </c>
      <c r="D240" s="17">
        <v>28.5</v>
      </c>
      <c r="E240" s="17">
        <v>3</v>
      </c>
      <c r="F240" s="17">
        <v>1</v>
      </c>
      <c r="G240" s="17">
        <v>21</v>
      </c>
    </row>
    <row r="241" spans="1:7" ht="15" customHeight="1" x14ac:dyDescent="0.3">
      <c r="A241" s="17" t="s">
        <v>262</v>
      </c>
      <c r="B241" s="17" t="s">
        <v>206</v>
      </c>
      <c r="C241" s="17">
        <v>75.099999999999994</v>
      </c>
      <c r="D241" s="17">
        <v>16.3</v>
      </c>
      <c r="E241" s="17">
        <v>3</v>
      </c>
      <c r="F241" s="17">
        <v>1</v>
      </c>
      <c r="G241" s="17">
        <v>83</v>
      </c>
    </row>
    <row r="242" spans="1:7" ht="15" customHeight="1" x14ac:dyDescent="0.3">
      <c r="A242" s="17" t="s">
        <v>263</v>
      </c>
      <c r="B242" s="17" t="s">
        <v>206</v>
      </c>
      <c r="C242" s="17">
        <v>70.3</v>
      </c>
      <c r="D242" s="17">
        <v>11.3</v>
      </c>
      <c r="E242" s="17">
        <v>6</v>
      </c>
      <c r="F242" s="17">
        <v>4</v>
      </c>
      <c r="G242" s="17">
        <v>25</v>
      </c>
    </row>
    <row r="243" spans="1:7" ht="15" customHeight="1" x14ac:dyDescent="0.3">
      <c r="A243" s="17" t="s">
        <v>264</v>
      </c>
      <c r="B243" s="17" t="s">
        <v>206</v>
      </c>
      <c r="C243" s="17">
        <v>77</v>
      </c>
      <c r="D243" s="17">
        <v>34</v>
      </c>
      <c r="E243" s="17">
        <v>5</v>
      </c>
      <c r="F243" s="17">
        <v>1</v>
      </c>
      <c r="G243" s="17">
        <v>46</v>
      </c>
    </row>
    <row r="244" spans="1:7" ht="15" customHeight="1" x14ac:dyDescent="0.3">
      <c r="A244" s="17" t="s">
        <v>265</v>
      </c>
      <c r="B244" s="17" t="s">
        <v>206</v>
      </c>
      <c r="C244" s="17">
        <v>73.8</v>
      </c>
      <c r="D244" s="17">
        <v>20.6</v>
      </c>
      <c r="E244" s="17">
        <v>7</v>
      </c>
      <c r="F244" s="17">
        <v>0</v>
      </c>
      <c r="G244" s="17">
        <v>87</v>
      </c>
    </row>
    <row r="245" spans="1:7" ht="15" customHeight="1" x14ac:dyDescent="0.3">
      <c r="A245" s="17" t="s">
        <v>266</v>
      </c>
      <c r="B245" s="17" t="s">
        <v>206</v>
      </c>
      <c r="C245" s="17">
        <v>78.599999999999994</v>
      </c>
      <c r="D245" s="17">
        <v>13.1</v>
      </c>
      <c r="E245" s="17">
        <v>3</v>
      </c>
      <c r="F245" s="17">
        <v>0</v>
      </c>
      <c r="G245" s="17">
        <v>90</v>
      </c>
    </row>
    <row r="246" spans="1:7" ht="15" customHeight="1" x14ac:dyDescent="0.3">
      <c r="A246" s="17" t="s">
        <v>267</v>
      </c>
      <c r="B246" s="17" t="s">
        <v>206</v>
      </c>
      <c r="C246" s="17">
        <v>73</v>
      </c>
      <c r="D246" s="17">
        <v>14.9</v>
      </c>
      <c r="E246" s="17">
        <v>9</v>
      </c>
      <c r="F246" s="17">
        <v>2</v>
      </c>
      <c r="G246" s="17">
        <v>88</v>
      </c>
    </row>
    <row r="247" spans="1:7" ht="15" customHeight="1" x14ac:dyDescent="0.3">
      <c r="A247" s="17" t="s">
        <v>268</v>
      </c>
      <c r="B247" s="17" t="s">
        <v>269</v>
      </c>
      <c r="C247" s="17">
        <v>62.6</v>
      </c>
      <c r="D247" s="17">
        <v>18.3</v>
      </c>
      <c r="E247" s="17">
        <v>8</v>
      </c>
      <c r="F247" s="17">
        <v>2</v>
      </c>
      <c r="G247" s="17">
        <v>14</v>
      </c>
    </row>
    <row r="248" spans="1:7" ht="15" customHeight="1" x14ac:dyDescent="0.3">
      <c r="A248" s="17" t="s">
        <v>270</v>
      </c>
      <c r="B248" s="17" t="s">
        <v>269</v>
      </c>
      <c r="C248" s="17">
        <v>78.3</v>
      </c>
      <c r="D248" s="17">
        <v>14.6</v>
      </c>
      <c r="E248" s="17">
        <v>6</v>
      </c>
      <c r="F248" s="17">
        <v>1</v>
      </c>
      <c r="G248" s="17">
        <v>28</v>
      </c>
    </row>
    <row r="249" spans="1:7" ht="15" customHeight="1" x14ac:dyDescent="0.3">
      <c r="A249" s="17" t="s">
        <v>271</v>
      </c>
      <c r="B249" s="17" t="s">
        <v>269</v>
      </c>
      <c r="C249" s="17">
        <v>82.9</v>
      </c>
      <c r="D249" s="17">
        <v>12.8</v>
      </c>
      <c r="E249" s="17">
        <v>8</v>
      </c>
      <c r="F249" s="17">
        <v>0</v>
      </c>
      <c r="G249" s="17">
        <v>35</v>
      </c>
    </row>
    <row r="250" spans="1:7" ht="15" customHeight="1" x14ac:dyDescent="0.3">
      <c r="A250" s="17" t="s">
        <v>272</v>
      </c>
      <c r="B250" s="17" t="s">
        <v>269</v>
      </c>
      <c r="C250" s="17">
        <v>71.8</v>
      </c>
      <c r="D250" s="17">
        <v>12.4</v>
      </c>
      <c r="E250" s="17">
        <v>5</v>
      </c>
      <c r="F250" s="17">
        <v>0</v>
      </c>
      <c r="G250" s="17">
        <v>67</v>
      </c>
    </row>
    <row r="251" spans="1:7" ht="15" customHeight="1" x14ac:dyDescent="0.3">
      <c r="A251" s="17" t="s">
        <v>273</v>
      </c>
      <c r="B251" s="17" t="s">
        <v>269</v>
      </c>
      <c r="C251" s="17">
        <v>61</v>
      </c>
      <c r="D251" s="17">
        <v>15</v>
      </c>
      <c r="E251" s="17">
        <v>7</v>
      </c>
      <c r="F251" s="17">
        <v>3</v>
      </c>
      <c r="G251" s="17">
        <v>17</v>
      </c>
    </row>
    <row r="252" spans="1:7" ht="15" customHeight="1" x14ac:dyDescent="0.3">
      <c r="A252" s="17" t="s">
        <v>274</v>
      </c>
      <c r="B252" s="17" t="s">
        <v>269</v>
      </c>
      <c r="C252" s="17">
        <v>73.900000000000006</v>
      </c>
      <c r="D252" s="17">
        <v>14.2</v>
      </c>
      <c r="E252" s="17">
        <v>6</v>
      </c>
      <c r="F252" s="17">
        <v>2</v>
      </c>
      <c r="G252" s="17">
        <v>40</v>
      </c>
    </row>
    <row r="253" spans="1:7" ht="15" customHeight="1" x14ac:dyDescent="0.3">
      <c r="A253" s="17" t="s">
        <v>275</v>
      </c>
      <c r="B253" s="17" t="s">
        <v>269</v>
      </c>
      <c r="C253" s="17">
        <v>83.3</v>
      </c>
      <c r="D253" s="17">
        <v>7.2</v>
      </c>
      <c r="E253" s="17">
        <v>4</v>
      </c>
      <c r="F253" s="17">
        <v>1</v>
      </c>
      <c r="G253" s="17">
        <v>30</v>
      </c>
    </row>
    <row r="254" spans="1:7" ht="15" customHeight="1" x14ac:dyDescent="0.3">
      <c r="A254" s="17" t="s">
        <v>276</v>
      </c>
      <c r="B254" s="17" t="s">
        <v>269</v>
      </c>
      <c r="C254" s="17">
        <v>42.4</v>
      </c>
      <c r="D254" s="17">
        <v>16.899999999999999</v>
      </c>
      <c r="E254" s="17">
        <v>5</v>
      </c>
      <c r="F254" s="17">
        <v>2</v>
      </c>
      <c r="G254" s="17">
        <v>58</v>
      </c>
    </row>
    <row r="255" spans="1:7" ht="15" customHeight="1" x14ac:dyDescent="0.3">
      <c r="A255" s="17" t="s">
        <v>277</v>
      </c>
      <c r="B255" s="17" t="s">
        <v>269</v>
      </c>
      <c r="C255" s="17">
        <v>59.4</v>
      </c>
      <c r="D255" s="17">
        <v>7.4</v>
      </c>
      <c r="E255" s="17">
        <v>7</v>
      </c>
      <c r="F255" s="17">
        <v>1</v>
      </c>
      <c r="G255" s="17">
        <v>19</v>
      </c>
    </row>
    <row r="256" spans="1:7" ht="15" customHeight="1" x14ac:dyDescent="0.3">
      <c r="A256" s="17" t="s">
        <v>278</v>
      </c>
      <c r="B256" s="17" t="s">
        <v>269</v>
      </c>
      <c r="C256" s="17">
        <v>59.6</v>
      </c>
      <c r="D256" s="17">
        <v>25</v>
      </c>
      <c r="E256" s="17">
        <v>4</v>
      </c>
      <c r="F256" s="17">
        <v>1</v>
      </c>
      <c r="G256" s="17">
        <v>108</v>
      </c>
    </row>
    <row r="257" spans="1:7" ht="15" customHeight="1" x14ac:dyDescent="0.3">
      <c r="A257" s="17" t="s">
        <v>279</v>
      </c>
      <c r="B257" s="17" t="s">
        <v>269</v>
      </c>
      <c r="C257" s="17">
        <v>71.2</v>
      </c>
      <c r="D257" s="17">
        <v>12</v>
      </c>
      <c r="E257" s="17">
        <v>6</v>
      </c>
      <c r="F257" s="17">
        <v>0</v>
      </c>
      <c r="G257" s="17">
        <v>56</v>
      </c>
    </row>
    <row r="258" spans="1:7" ht="15" customHeight="1" x14ac:dyDescent="0.3">
      <c r="A258" s="17" t="s">
        <v>280</v>
      </c>
      <c r="B258" s="17" t="s">
        <v>269</v>
      </c>
      <c r="C258" s="17">
        <v>71.900000000000006</v>
      </c>
      <c r="D258" s="17">
        <v>20.9</v>
      </c>
      <c r="E258" s="17">
        <v>8</v>
      </c>
      <c r="F258" s="17">
        <v>3</v>
      </c>
      <c r="G258" s="17">
        <v>132</v>
      </c>
    </row>
    <row r="259" spans="1:7" ht="15" customHeight="1" x14ac:dyDescent="0.3">
      <c r="A259" s="17" t="s">
        <v>281</v>
      </c>
      <c r="B259" s="17" t="s">
        <v>269</v>
      </c>
      <c r="C259" s="17">
        <v>75.3</v>
      </c>
      <c r="D259" s="17">
        <v>20.2</v>
      </c>
      <c r="E259" s="17">
        <v>5</v>
      </c>
      <c r="F259" s="17">
        <v>0</v>
      </c>
      <c r="G259" s="17">
        <v>18</v>
      </c>
    </row>
    <row r="260" spans="1:7" ht="15" customHeight="1" x14ac:dyDescent="0.3">
      <c r="A260" s="17" t="s">
        <v>282</v>
      </c>
      <c r="B260" s="17" t="s">
        <v>269</v>
      </c>
      <c r="C260" s="17">
        <v>72.8</v>
      </c>
      <c r="D260" s="17">
        <v>12.8</v>
      </c>
      <c r="E260" s="17">
        <v>8</v>
      </c>
      <c r="F260" s="17">
        <v>1</v>
      </c>
      <c r="G260" s="17">
        <v>89</v>
      </c>
    </row>
    <row r="261" spans="1:7" ht="15" customHeight="1" x14ac:dyDescent="0.3">
      <c r="A261" s="17" t="s">
        <v>283</v>
      </c>
      <c r="B261" s="17" t="s">
        <v>269</v>
      </c>
      <c r="C261" s="17">
        <v>63.3</v>
      </c>
      <c r="D261" s="17">
        <v>7.8</v>
      </c>
      <c r="E261" s="17">
        <v>3</v>
      </c>
      <c r="F261" s="17">
        <v>0</v>
      </c>
      <c r="G261" s="17">
        <v>75</v>
      </c>
    </row>
    <row r="262" spans="1:7" ht="15" customHeight="1" x14ac:dyDescent="0.3">
      <c r="A262" s="17" t="s">
        <v>284</v>
      </c>
      <c r="B262" s="17" t="s">
        <v>269</v>
      </c>
      <c r="C262" s="17">
        <v>75.900000000000006</v>
      </c>
      <c r="D262" s="17">
        <v>22.6</v>
      </c>
      <c r="E262" s="17">
        <v>7</v>
      </c>
      <c r="F262" s="17">
        <v>2</v>
      </c>
      <c r="G262" s="17">
        <v>88</v>
      </c>
    </row>
    <row r="263" spans="1:7" ht="15" customHeight="1" x14ac:dyDescent="0.3">
      <c r="A263" s="17" t="s">
        <v>285</v>
      </c>
      <c r="B263" s="17" t="s">
        <v>269</v>
      </c>
      <c r="C263" s="17">
        <v>74.900000000000006</v>
      </c>
      <c r="D263" s="17">
        <v>18.100000000000001</v>
      </c>
      <c r="E263" s="17">
        <v>7</v>
      </c>
      <c r="F263" s="17">
        <v>2</v>
      </c>
      <c r="G263" s="17">
        <v>65</v>
      </c>
    </row>
    <row r="264" spans="1:7" ht="15" customHeight="1" x14ac:dyDescent="0.3">
      <c r="A264" s="17" t="s">
        <v>286</v>
      </c>
      <c r="B264" s="17" t="s">
        <v>269</v>
      </c>
      <c r="C264" s="17">
        <v>98</v>
      </c>
      <c r="D264" s="17">
        <v>9.4</v>
      </c>
      <c r="E264" s="17">
        <v>4</v>
      </c>
      <c r="F264" s="17">
        <v>1</v>
      </c>
      <c r="G264" s="17">
        <v>116</v>
      </c>
    </row>
    <row r="265" spans="1:7" ht="15" customHeight="1" x14ac:dyDescent="0.3">
      <c r="A265" s="17" t="s">
        <v>287</v>
      </c>
      <c r="B265" s="17" t="s">
        <v>269</v>
      </c>
      <c r="C265" s="17">
        <v>65.400000000000006</v>
      </c>
      <c r="D265" s="17">
        <v>9.1999999999999993</v>
      </c>
      <c r="E265" s="17">
        <v>8</v>
      </c>
      <c r="F265" s="17">
        <v>2</v>
      </c>
      <c r="G265" s="17">
        <v>59</v>
      </c>
    </row>
    <row r="266" spans="1:7" ht="15" customHeight="1" x14ac:dyDescent="0.3">
      <c r="A266" s="17" t="s">
        <v>288</v>
      </c>
      <c r="B266" s="17" t="s">
        <v>269</v>
      </c>
      <c r="C266" s="17">
        <v>88.6</v>
      </c>
      <c r="D266" s="17">
        <v>11.2</v>
      </c>
      <c r="E266" s="17">
        <v>5</v>
      </c>
      <c r="F266" s="17">
        <v>0</v>
      </c>
      <c r="G266" s="17">
        <v>29</v>
      </c>
    </row>
    <row r="267" spans="1:7" ht="15" customHeight="1" x14ac:dyDescent="0.3">
      <c r="A267" s="17" t="s">
        <v>289</v>
      </c>
      <c r="B267" s="17" t="s">
        <v>269</v>
      </c>
      <c r="C267" s="17">
        <v>53.4</v>
      </c>
      <c r="D267" s="17">
        <v>11.3</v>
      </c>
      <c r="E267" s="17">
        <v>2</v>
      </c>
      <c r="F267" s="17">
        <v>1</v>
      </c>
      <c r="G267" s="17">
        <v>49</v>
      </c>
    </row>
    <row r="268" spans="1:7" ht="15" customHeight="1" x14ac:dyDescent="0.3">
      <c r="A268" s="17" t="s">
        <v>290</v>
      </c>
      <c r="B268" s="17" t="s">
        <v>269</v>
      </c>
      <c r="C268" s="17">
        <v>70.099999999999994</v>
      </c>
      <c r="D268" s="17">
        <v>9.9</v>
      </c>
      <c r="E268" s="17">
        <v>5</v>
      </c>
      <c r="F268" s="17">
        <v>1</v>
      </c>
      <c r="G268" s="17">
        <v>56</v>
      </c>
    </row>
    <row r="269" spans="1:7" ht="15" customHeight="1" x14ac:dyDescent="0.3">
      <c r="A269" s="17" t="s">
        <v>291</v>
      </c>
      <c r="B269" s="17" t="s">
        <v>269</v>
      </c>
      <c r="C269" s="17">
        <v>58.7</v>
      </c>
      <c r="D269" s="17">
        <v>7.7</v>
      </c>
      <c r="E269" s="17">
        <v>8</v>
      </c>
      <c r="F269" s="17">
        <v>1</v>
      </c>
      <c r="G269" s="17">
        <v>58</v>
      </c>
    </row>
    <row r="270" spans="1:7" ht="15" customHeight="1" x14ac:dyDescent="0.3">
      <c r="A270" s="17" t="s">
        <v>292</v>
      </c>
      <c r="B270" s="17" t="s">
        <v>269</v>
      </c>
      <c r="C270" s="17">
        <v>78.7</v>
      </c>
      <c r="D270" s="17">
        <v>20.399999999999999</v>
      </c>
      <c r="E270" s="17">
        <v>10</v>
      </c>
      <c r="F270" s="17">
        <v>5</v>
      </c>
      <c r="G270" s="17">
        <v>42</v>
      </c>
    </row>
    <row r="271" spans="1:7" ht="15" customHeight="1" x14ac:dyDescent="0.3">
      <c r="A271" s="17" t="s">
        <v>293</v>
      </c>
      <c r="B271" s="17" t="s">
        <v>269</v>
      </c>
      <c r="C271" s="17">
        <v>75.400000000000006</v>
      </c>
      <c r="D271" s="17">
        <v>13.9</v>
      </c>
      <c r="E271" s="17">
        <v>6</v>
      </c>
      <c r="F271" s="17">
        <v>1</v>
      </c>
      <c r="G271" s="17">
        <v>156</v>
      </c>
    </row>
    <row r="272" spans="1:7" ht="15" customHeight="1" x14ac:dyDescent="0.3">
      <c r="A272" s="17" t="s">
        <v>294</v>
      </c>
      <c r="B272" s="17" t="s">
        <v>269</v>
      </c>
      <c r="C272" s="17">
        <v>81.3</v>
      </c>
      <c r="D272" s="17">
        <v>6</v>
      </c>
      <c r="E272" s="17">
        <v>8</v>
      </c>
      <c r="F272" s="17">
        <v>3</v>
      </c>
      <c r="G272" s="17">
        <v>22</v>
      </c>
    </row>
    <row r="273" spans="1:7" ht="15" customHeight="1" x14ac:dyDescent="0.3">
      <c r="A273" s="17" t="s">
        <v>295</v>
      </c>
      <c r="B273" s="17" t="s">
        <v>269</v>
      </c>
      <c r="C273" s="17">
        <v>70.3</v>
      </c>
      <c r="D273" s="17">
        <v>11.8</v>
      </c>
      <c r="E273" s="17">
        <v>9</v>
      </c>
      <c r="F273" s="17">
        <v>1</v>
      </c>
      <c r="G273" s="17">
        <v>15</v>
      </c>
    </row>
    <row r="274" spans="1:7" ht="15" customHeight="1" x14ac:dyDescent="0.3">
      <c r="A274" s="17" t="s">
        <v>296</v>
      </c>
      <c r="B274" s="17" t="s">
        <v>269</v>
      </c>
      <c r="C274" s="17">
        <v>72.5</v>
      </c>
      <c r="D274" s="17">
        <v>12.3</v>
      </c>
      <c r="E274" s="17">
        <v>6</v>
      </c>
      <c r="F274" s="17">
        <v>0</v>
      </c>
      <c r="G274" s="17">
        <v>75</v>
      </c>
    </row>
    <row r="275" spans="1:7" ht="15" customHeight="1" x14ac:dyDescent="0.3">
      <c r="A275" s="17" t="s">
        <v>297</v>
      </c>
      <c r="B275" s="17" t="s">
        <v>269</v>
      </c>
      <c r="C275" s="17">
        <v>64.400000000000006</v>
      </c>
      <c r="D275" s="17">
        <v>9.8000000000000007</v>
      </c>
      <c r="E275" s="17">
        <v>9</v>
      </c>
      <c r="F275" s="17">
        <v>0</v>
      </c>
      <c r="G275" s="17">
        <v>60</v>
      </c>
    </row>
    <row r="276" spans="1:7" ht="15" customHeight="1" x14ac:dyDescent="0.3">
      <c r="A276" s="17" t="s">
        <v>298</v>
      </c>
      <c r="B276" s="17" t="s">
        <v>269</v>
      </c>
      <c r="C276" s="17">
        <v>63.8</v>
      </c>
      <c r="D276" s="17">
        <v>12.4</v>
      </c>
      <c r="E276" s="17">
        <v>3</v>
      </c>
      <c r="F276" s="17">
        <v>1</v>
      </c>
      <c r="G276" s="17">
        <v>100</v>
      </c>
    </row>
    <row r="277" spans="1:7" ht="15" customHeight="1" x14ac:dyDescent="0.3">
      <c r="A277" s="17" t="s">
        <v>299</v>
      </c>
      <c r="B277" s="17" t="s">
        <v>269</v>
      </c>
      <c r="C277" s="17">
        <v>89.2</v>
      </c>
      <c r="D277" s="17">
        <v>15.5</v>
      </c>
      <c r="E277" s="17">
        <v>3</v>
      </c>
      <c r="F277" s="17">
        <v>1</v>
      </c>
      <c r="G277" s="17">
        <v>3</v>
      </c>
    </row>
    <row r="278" spans="1:7" ht="15" customHeight="1" x14ac:dyDescent="0.3">
      <c r="A278" s="17" t="s">
        <v>300</v>
      </c>
      <c r="B278" s="17" t="s">
        <v>269</v>
      </c>
      <c r="C278" s="17">
        <v>73.5</v>
      </c>
      <c r="D278" s="17">
        <v>12.5</v>
      </c>
      <c r="E278" s="17">
        <v>7</v>
      </c>
      <c r="F278" s="17">
        <v>2</v>
      </c>
      <c r="G278" s="17">
        <v>15</v>
      </c>
    </row>
    <row r="279" spans="1:7" ht="15" customHeight="1" x14ac:dyDescent="0.3">
      <c r="A279" s="17" t="s">
        <v>301</v>
      </c>
      <c r="B279" s="17" t="s">
        <v>269</v>
      </c>
      <c r="C279" s="17">
        <v>65.599999999999994</v>
      </c>
      <c r="D279" s="17">
        <v>11.3</v>
      </c>
      <c r="E279" s="17">
        <v>8</v>
      </c>
      <c r="F279" s="17">
        <v>0</v>
      </c>
      <c r="G279" s="17">
        <v>30</v>
      </c>
    </row>
    <row r="280" spans="1:7" ht="15" customHeight="1" x14ac:dyDescent="0.3">
      <c r="A280" s="17" t="s">
        <v>302</v>
      </c>
      <c r="B280" s="17" t="s">
        <v>269</v>
      </c>
      <c r="C280" s="17">
        <v>62.9</v>
      </c>
      <c r="D280" s="17">
        <v>9.5</v>
      </c>
      <c r="E280" s="17">
        <v>3</v>
      </c>
      <c r="F280" s="17">
        <v>1</v>
      </c>
      <c r="G280" s="17">
        <v>14</v>
      </c>
    </row>
    <row r="281" spans="1:7" ht="15" customHeight="1" x14ac:dyDescent="0.3">
      <c r="A281" s="17" t="s">
        <v>303</v>
      </c>
      <c r="B281" s="17" t="s">
        <v>269</v>
      </c>
      <c r="C281" s="17">
        <v>71.599999999999994</v>
      </c>
      <c r="D281" s="17">
        <v>9.4</v>
      </c>
      <c r="E281" s="17">
        <v>3</v>
      </c>
      <c r="F281" s="17">
        <v>1</v>
      </c>
      <c r="G281" s="17">
        <v>84</v>
      </c>
    </row>
    <row r="282" spans="1:7" ht="15" customHeight="1" x14ac:dyDescent="0.3">
      <c r="A282" s="17" t="s">
        <v>304</v>
      </c>
      <c r="B282" s="17" t="s">
        <v>269</v>
      </c>
      <c r="C282" s="17">
        <v>48.5</v>
      </c>
      <c r="D282" s="17">
        <v>15.1</v>
      </c>
      <c r="E282" s="17">
        <v>2</v>
      </c>
      <c r="F282" s="17">
        <v>0</v>
      </c>
      <c r="G282" s="17">
        <v>33</v>
      </c>
    </row>
    <row r="283" spans="1:7" ht="15" customHeight="1" x14ac:dyDescent="0.3">
      <c r="A283" s="17" t="s">
        <v>305</v>
      </c>
      <c r="B283" s="17" t="s">
        <v>269</v>
      </c>
      <c r="C283" s="17">
        <v>61.6</v>
      </c>
      <c r="D283" s="17">
        <v>11.9</v>
      </c>
      <c r="E283" s="17">
        <v>5</v>
      </c>
      <c r="F283" s="17">
        <v>0</v>
      </c>
      <c r="G283" s="17">
        <v>47</v>
      </c>
    </row>
    <row r="284" spans="1:7" ht="15" customHeight="1" x14ac:dyDescent="0.3">
      <c r="A284" s="17" t="s">
        <v>306</v>
      </c>
      <c r="B284" s="17" t="s">
        <v>269</v>
      </c>
      <c r="C284" s="17">
        <v>81.2</v>
      </c>
      <c r="D284" s="17">
        <v>7.7</v>
      </c>
      <c r="E284" s="17">
        <v>9</v>
      </c>
      <c r="F284" s="17">
        <v>1</v>
      </c>
      <c r="G284" s="17">
        <v>15</v>
      </c>
    </row>
    <row r="285" spans="1:7" ht="15" customHeight="1" x14ac:dyDescent="0.3">
      <c r="A285" s="17" t="s">
        <v>307</v>
      </c>
      <c r="B285" s="17" t="s">
        <v>269</v>
      </c>
      <c r="C285" s="17">
        <v>67.5</v>
      </c>
      <c r="D285" s="17">
        <v>10.5</v>
      </c>
      <c r="E285" s="17">
        <v>7</v>
      </c>
      <c r="F285" s="17">
        <v>0</v>
      </c>
      <c r="G285" s="17">
        <v>42</v>
      </c>
    </row>
    <row r="286" spans="1:7" ht="15" customHeight="1" x14ac:dyDescent="0.3">
      <c r="A286" s="17" t="s">
        <v>308</v>
      </c>
      <c r="B286" s="17" t="s">
        <v>269</v>
      </c>
      <c r="C286" s="17">
        <v>83.1</v>
      </c>
      <c r="D286" s="17">
        <v>12.9</v>
      </c>
      <c r="E286" s="17">
        <v>5</v>
      </c>
      <c r="F286" s="17">
        <v>1</v>
      </c>
      <c r="G286" s="17">
        <v>97</v>
      </c>
    </row>
    <row r="287" spans="1:7" ht="15" customHeight="1" x14ac:dyDescent="0.3">
      <c r="A287" s="17" t="s">
        <v>309</v>
      </c>
      <c r="B287" s="17" t="s">
        <v>269</v>
      </c>
      <c r="C287" s="17">
        <v>67.599999999999994</v>
      </c>
      <c r="D287" s="17">
        <v>22.6</v>
      </c>
      <c r="E287" s="17">
        <v>8</v>
      </c>
      <c r="F287" s="17">
        <v>1</v>
      </c>
      <c r="G287" s="17">
        <v>71</v>
      </c>
    </row>
    <row r="288" spans="1:7" ht="15" customHeight="1" x14ac:dyDescent="0.3">
      <c r="A288" s="17" t="s">
        <v>310</v>
      </c>
      <c r="B288" s="17" t="s">
        <v>269</v>
      </c>
      <c r="C288" s="17">
        <v>73.599999999999994</v>
      </c>
      <c r="D288" s="17">
        <v>16.399999999999999</v>
      </c>
      <c r="E288" s="17">
        <v>4</v>
      </c>
      <c r="F288" s="17">
        <v>0</v>
      </c>
      <c r="G288" s="17">
        <v>8</v>
      </c>
    </row>
    <row r="289" spans="1:7" ht="15" customHeight="1" x14ac:dyDescent="0.3">
      <c r="A289" s="17" t="s">
        <v>311</v>
      </c>
      <c r="B289" s="17" t="s">
        <v>269</v>
      </c>
      <c r="C289" s="17">
        <v>76.900000000000006</v>
      </c>
      <c r="D289" s="17">
        <v>12.9</v>
      </c>
      <c r="E289" s="17">
        <v>9</v>
      </c>
      <c r="F289" s="17">
        <v>1</v>
      </c>
      <c r="G289" s="17">
        <v>15</v>
      </c>
    </row>
    <row r="290" spans="1:7" ht="15" customHeight="1" x14ac:dyDescent="0.3">
      <c r="A290" s="17" t="s">
        <v>312</v>
      </c>
      <c r="B290" s="17" t="s">
        <v>269</v>
      </c>
      <c r="C290" s="17">
        <v>46.8</v>
      </c>
      <c r="D290" s="17">
        <v>8.8000000000000007</v>
      </c>
      <c r="E290" s="17">
        <v>6</v>
      </c>
      <c r="F290" s="17">
        <v>0</v>
      </c>
      <c r="G290" s="17">
        <v>69</v>
      </c>
    </row>
    <row r="291" spans="1:7" ht="15" customHeight="1" x14ac:dyDescent="0.3">
      <c r="A291" s="17" t="s">
        <v>313</v>
      </c>
      <c r="B291" s="17" t="s">
        <v>269</v>
      </c>
      <c r="C291" s="17">
        <v>64.2</v>
      </c>
      <c r="D291" s="17">
        <v>12.1</v>
      </c>
      <c r="E291" s="17">
        <v>4</v>
      </c>
      <c r="F291" s="17">
        <v>0</v>
      </c>
      <c r="G291" s="17">
        <v>44</v>
      </c>
    </row>
    <row r="292" spans="1:7" ht="15" customHeight="1" x14ac:dyDescent="0.3">
      <c r="A292" s="17" t="s">
        <v>314</v>
      </c>
      <c r="B292" s="17" t="s">
        <v>269</v>
      </c>
      <c r="C292" s="17">
        <v>84.6</v>
      </c>
      <c r="D292" s="17">
        <v>20.9</v>
      </c>
      <c r="E292" s="17">
        <v>3</v>
      </c>
      <c r="F292" s="17">
        <v>2</v>
      </c>
      <c r="G292" s="17">
        <v>47</v>
      </c>
    </row>
    <row r="293" spans="1:7" ht="15" customHeight="1" x14ac:dyDescent="0.3">
      <c r="A293" s="17" t="s">
        <v>315</v>
      </c>
      <c r="B293" s="17" t="s">
        <v>269</v>
      </c>
      <c r="C293" s="17">
        <v>79.8</v>
      </c>
      <c r="D293" s="17">
        <v>12.7</v>
      </c>
      <c r="E293" s="17">
        <v>2</v>
      </c>
      <c r="F293" s="17">
        <v>1</v>
      </c>
      <c r="G293" s="17">
        <v>58</v>
      </c>
    </row>
    <row r="294" spans="1:7" ht="15" customHeight="1" x14ac:dyDescent="0.3">
      <c r="A294" s="17" t="s">
        <v>316</v>
      </c>
      <c r="B294" s="17" t="s">
        <v>269</v>
      </c>
      <c r="C294" s="17">
        <v>75.099999999999994</v>
      </c>
      <c r="D294" s="17">
        <v>10</v>
      </c>
      <c r="E294" s="17">
        <v>5</v>
      </c>
      <c r="F294" s="17">
        <v>2</v>
      </c>
      <c r="G294" s="17">
        <v>50</v>
      </c>
    </row>
    <row r="295" spans="1:7" ht="15" customHeight="1" x14ac:dyDescent="0.3">
      <c r="A295" s="17" t="s">
        <v>317</v>
      </c>
      <c r="B295" s="17" t="s">
        <v>269</v>
      </c>
      <c r="C295" s="17">
        <v>97.4</v>
      </c>
      <c r="D295" s="17">
        <v>15</v>
      </c>
      <c r="E295" s="17">
        <v>6</v>
      </c>
      <c r="F295" s="17">
        <v>0</v>
      </c>
      <c r="G295" s="17">
        <v>13</v>
      </c>
    </row>
    <row r="296" spans="1:7" ht="15" customHeight="1" x14ac:dyDescent="0.3">
      <c r="A296" s="17" t="s">
        <v>318</v>
      </c>
      <c r="B296" s="17" t="s">
        <v>269</v>
      </c>
      <c r="C296" s="17">
        <v>69.5</v>
      </c>
      <c r="D296" s="17">
        <v>14.1</v>
      </c>
      <c r="E296" s="17">
        <v>8</v>
      </c>
      <c r="F296" s="17">
        <v>0</v>
      </c>
      <c r="G296" s="17">
        <v>56</v>
      </c>
    </row>
    <row r="297" spans="1:7" ht="15" customHeight="1" x14ac:dyDescent="0.3">
      <c r="A297" s="17" t="s">
        <v>319</v>
      </c>
      <c r="B297" s="17" t="s">
        <v>269</v>
      </c>
      <c r="C297" s="17">
        <v>59.8</v>
      </c>
      <c r="D297" s="17">
        <v>10.9</v>
      </c>
      <c r="E297" s="17">
        <v>4</v>
      </c>
      <c r="F297" s="17">
        <v>0</v>
      </c>
      <c r="G297" s="17">
        <v>78</v>
      </c>
    </row>
    <row r="298" spans="1:7" ht="15" customHeight="1" x14ac:dyDescent="0.3">
      <c r="A298" s="17" t="s">
        <v>320</v>
      </c>
      <c r="B298" s="17" t="s">
        <v>269</v>
      </c>
      <c r="C298" s="17">
        <v>77.2</v>
      </c>
      <c r="D298" s="17">
        <v>9.9</v>
      </c>
      <c r="E298" s="17">
        <v>2</v>
      </c>
      <c r="F298" s="17">
        <v>1</v>
      </c>
      <c r="G298" s="17">
        <v>49</v>
      </c>
    </row>
    <row r="299" spans="1:7" ht="15" customHeight="1" x14ac:dyDescent="0.3">
      <c r="A299" s="17" t="s">
        <v>321</v>
      </c>
      <c r="B299" s="17" t="s">
        <v>269</v>
      </c>
      <c r="C299" s="17">
        <v>76.2</v>
      </c>
      <c r="D299" s="17">
        <v>14.7</v>
      </c>
      <c r="E299" s="17">
        <v>5</v>
      </c>
      <c r="F299" s="17">
        <v>0</v>
      </c>
      <c r="G299" s="17">
        <v>73</v>
      </c>
    </row>
    <row r="300" spans="1:7" ht="15" customHeight="1" x14ac:dyDescent="0.3">
      <c r="A300" s="17" t="s">
        <v>322</v>
      </c>
      <c r="B300" s="17" t="s">
        <v>269</v>
      </c>
      <c r="C300" s="17">
        <v>66.099999999999994</v>
      </c>
      <c r="D300" s="17">
        <v>9.4</v>
      </c>
      <c r="E300" s="17">
        <v>4</v>
      </c>
      <c r="F300" s="17">
        <v>2</v>
      </c>
      <c r="G300" s="17">
        <v>201</v>
      </c>
    </row>
    <row r="301" spans="1:7" ht="15" customHeight="1" x14ac:dyDescent="0.3">
      <c r="A301" s="17" t="s">
        <v>323</v>
      </c>
      <c r="B301" s="17" t="s">
        <v>269</v>
      </c>
      <c r="C301" s="17">
        <v>83.7</v>
      </c>
      <c r="D301" s="17">
        <v>7.4</v>
      </c>
      <c r="E301" s="17">
        <v>6</v>
      </c>
      <c r="F301" s="17">
        <v>2</v>
      </c>
      <c r="G301" s="17">
        <v>24</v>
      </c>
    </row>
  </sheetData>
  <autoFilter ref="A1:G3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1"/>
  <sheetViews>
    <sheetView zoomScaleNormal="100" workbookViewId="0">
      <pane ySplit="1" topLeftCell="A2" activePane="bottomLeft" state="frozen"/>
      <selection pane="bottomLeft"/>
    </sheetView>
  </sheetViews>
  <sheetFormatPr defaultColWidth="8.6640625" defaultRowHeight="14.4" x14ac:dyDescent="0.3"/>
  <cols>
    <col min="1" max="1" width="13" style="15" customWidth="1"/>
    <col min="2" max="2" width="10" style="15" customWidth="1"/>
    <col min="3" max="3" width="16" style="15" customWidth="1"/>
  </cols>
  <sheetData>
    <row r="1" spans="1:3" ht="15" customHeight="1" x14ac:dyDescent="0.3">
      <c r="A1" s="19" t="s">
        <v>324</v>
      </c>
      <c r="B1" s="19" t="s">
        <v>325</v>
      </c>
      <c r="C1" s="19" t="s">
        <v>326</v>
      </c>
    </row>
    <row r="2" spans="1:3" ht="15" customHeight="1" x14ac:dyDescent="0.3">
      <c r="A2" s="17" t="s">
        <v>327</v>
      </c>
      <c r="B2" s="17" t="s">
        <v>328</v>
      </c>
      <c r="C2" s="17">
        <v>3</v>
      </c>
    </row>
    <row r="3" spans="1:3" ht="15" customHeight="1" x14ac:dyDescent="0.3">
      <c r="A3" s="17" t="s">
        <v>329</v>
      </c>
      <c r="B3" s="17" t="s">
        <v>328</v>
      </c>
      <c r="C3" s="17">
        <v>3</v>
      </c>
    </row>
    <row r="4" spans="1:3" ht="15" customHeight="1" x14ac:dyDescent="0.3">
      <c r="A4" s="17" t="s">
        <v>330</v>
      </c>
      <c r="B4" s="17" t="s">
        <v>331</v>
      </c>
      <c r="C4" s="17">
        <v>6</v>
      </c>
    </row>
    <row r="5" spans="1:3" ht="15" customHeight="1" x14ac:dyDescent="0.3">
      <c r="A5" s="17" t="s">
        <v>332</v>
      </c>
      <c r="B5" s="17" t="s">
        <v>328</v>
      </c>
      <c r="C5" s="17">
        <v>5</v>
      </c>
    </row>
    <row r="6" spans="1:3" ht="15" customHeight="1" x14ac:dyDescent="0.3">
      <c r="A6" s="17" t="s">
        <v>333</v>
      </c>
      <c r="B6" s="17" t="s">
        <v>331</v>
      </c>
      <c r="C6" s="17">
        <v>7</v>
      </c>
    </row>
    <row r="7" spans="1:3" ht="15" customHeight="1" x14ac:dyDescent="0.3">
      <c r="A7" s="17" t="s">
        <v>334</v>
      </c>
      <c r="B7" s="17" t="s">
        <v>328</v>
      </c>
      <c r="C7" s="17">
        <v>3</v>
      </c>
    </row>
    <row r="8" spans="1:3" ht="15" customHeight="1" x14ac:dyDescent="0.3">
      <c r="A8" s="17" t="s">
        <v>335</v>
      </c>
      <c r="B8" s="17" t="s">
        <v>328</v>
      </c>
      <c r="C8" s="17">
        <v>2</v>
      </c>
    </row>
    <row r="9" spans="1:3" ht="15" customHeight="1" x14ac:dyDescent="0.3">
      <c r="A9" s="17" t="s">
        <v>336</v>
      </c>
      <c r="B9" s="17" t="s">
        <v>328</v>
      </c>
      <c r="C9" s="17">
        <v>2</v>
      </c>
    </row>
    <row r="10" spans="1:3" ht="15" customHeight="1" x14ac:dyDescent="0.3">
      <c r="A10" s="17" t="s">
        <v>337</v>
      </c>
      <c r="B10" s="17" t="s">
        <v>328</v>
      </c>
      <c r="C10" s="17">
        <v>4</v>
      </c>
    </row>
    <row r="11" spans="1:3" ht="15" customHeight="1" x14ac:dyDescent="0.3">
      <c r="A11" s="17" t="s">
        <v>338</v>
      </c>
      <c r="B11" s="17" t="s">
        <v>339</v>
      </c>
      <c r="C11" s="17">
        <v>2</v>
      </c>
    </row>
    <row r="12" spans="1:3" ht="15" customHeight="1" x14ac:dyDescent="0.3">
      <c r="A12" s="17" t="s">
        <v>340</v>
      </c>
      <c r="B12" s="17" t="s">
        <v>339</v>
      </c>
      <c r="C12" s="17">
        <v>8</v>
      </c>
    </row>
    <row r="13" spans="1:3" ht="15" customHeight="1" x14ac:dyDescent="0.3">
      <c r="A13" s="17" t="s">
        <v>341</v>
      </c>
      <c r="B13" s="17" t="s">
        <v>331</v>
      </c>
      <c r="C13" s="17">
        <v>7</v>
      </c>
    </row>
    <row r="14" spans="1:3" ht="15" customHeight="1" x14ac:dyDescent="0.3">
      <c r="A14" s="17" t="s">
        <v>342</v>
      </c>
      <c r="B14" s="17" t="s">
        <v>331</v>
      </c>
      <c r="C14" s="17">
        <v>2</v>
      </c>
    </row>
    <row r="15" spans="1:3" ht="15" customHeight="1" x14ac:dyDescent="0.3">
      <c r="A15" s="17" t="s">
        <v>343</v>
      </c>
      <c r="B15" s="17" t="s">
        <v>331</v>
      </c>
      <c r="C15" s="17">
        <v>2</v>
      </c>
    </row>
    <row r="16" spans="1:3" ht="15" customHeight="1" x14ac:dyDescent="0.3">
      <c r="A16" s="17" t="s">
        <v>344</v>
      </c>
      <c r="B16" s="17" t="s">
        <v>328</v>
      </c>
      <c r="C16" s="17">
        <v>4</v>
      </c>
    </row>
    <row r="17" spans="1:3" ht="15" customHeight="1" x14ac:dyDescent="0.3">
      <c r="A17" s="17" t="s">
        <v>345</v>
      </c>
      <c r="B17" s="17" t="s">
        <v>339</v>
      </c>
      <c r="C17" s="17">
        <v>2</v>
      </c>
    </row>
    <row r="18" spans="1:3" ht="15" customHeight="1" x14ac:dyDescent="0.3">
      <c r="A18" s="17" t="s">
        <v>346</v>
      </c>
      <c r="B18" s="17" t="s">
        <v>339</v>
      </c>
      <c r="C18" s="17">
        <v>4</v>
      </c>
    </row>
    <row r="19" spans="1:3" ht="15" customHeight="1" x14ac:dyDescent="0.3">
      <c r="A19" s="17" t="s">
        <v>347</v>
      </c>
      <c r="B19" s="17" t="s">
        <v>331</v>
      </c>
      <c r="C19" s="17">
        <v>4</v>
      </c>
    </row>
    <row r="20" spans="1:3" ht="15" customHeight="1" x14ac:dyDescent="0.3">
      <c r="A20" s="17" t="s">
        <v>348</v>
      </c>
      <c r="B20" s="17" t="s">
        <v>331</v>
      </c>
      <c r="C20" s="17">
        <v>9</v>
      </c>
    </row>
    <row r="21" spans="1:3" ht="15" customHeight="1" x14ac:dyDescent="0.3">
      <c r="A21" s="17" t="s">
        <v>349</v>
      </c>
      <c r="B21" s="17" t="s">
        <v>339</v>
      </c>
      <c r="C21" s="17">
        <v>4</v>
      </c>
    </row>
    <row r="22" spans="1:3" ht="15" customHeight="1" x14ac:dyDescent="0.3">
      <c r="A22" s="17" t="s">
        <v>350</v>
      </c>
      <c r="B22" s="17" t="s">
        <v>328</v>
      </c>
      <c r="C22" s="17">
        <v>4</v>
      </c>
    </row>
    <row r="23" spans="1:3" ht="15" customHeight="1" x14ac:dyDescent="0.3">
      <c r="A23" s="17" t="s">
        <v>351</v>
      </c>
      <c r="B23" s="17" t="s">
        <v>331</v>
      </c>
      <c r="C23" s="17">
        <v>0</v>
      </c>
    </row>
    <row r="24" spans="1:3" ht="15" customHeight="1" x14ac:dyDescent="0.3">
      <c r="A24" s="17" t="s">
        <v>352</v>
      </c>
      <c r="B24" s="17" t="s">
        <v>328</v>
      </c>
      <c r="C24" s="17">
        <v>6</v>
      </c>
    </row>
    <row r="25" spans="1:3" ht="15" customHeight="1" x14ac:dyDescent="0.3">
      <c r="A25" s="17" t="s">
        <v>353</v>
      </c>
      <c r="B25" s="17" t="s">
        <v>339</v>
      </c>
      <c r="C25" s="17">
        <v>6</v>
      </c>
    </row>
    <row r="26" spans="1:3" ht="15" customHeight="1" x14ac:dyDescent="0.3">
      <c r="A26" s="17" t="s">
        <v>354</v>
      </c>
      <c r="B26" s="17" t="s">
        <v>339</v>
      </c>
      <c r="C26" s="17">
        <v>6</v>
      </c>
    </row>
    <row r="27" spans="1:3" ht="15" customHeight="1" x14ac:dyDescent="0.3">
      <c r="A27" s="17" t="s">
        <v>355</v>
      </c>
      <c r="B27" s="17" t="s">
        <v>339</v>
      </c>
      <c r="C27" s="17">
        <v>3</v>
      </c>
    </row>
    <row r="28" spans="1:3" ht="15" customHeight="1" x14ac:dyDescent="0.3">
      <c r="A28" s="17" t="s">
        <v>356</v>
      </c>
      <c r="B28" s="17" t="s">
        <v>328</v>
      </c>
      <c r="C28" s="17">
        <v>7</v>
      </c>
    </row>
    <row r="29" spans="1:3" ht="15" customHeight="1" x14ac:dyDescent="0.3">
      <c r="A29" s="17" t="s">
        <v>357</v>
      </c>
      <c r="B29" s="17" t="s">
        <v>328</v>
      </c>
      <c r="C29" s="17">
        <v>4</v>
      </c>
    </row>
    <row r="30" spans="1:3" ht="15" customHeight="1" x14ac:dyDescent="0.3">
      <c r="A30" s="17" t="s">
        <v>358</v>
      </c>
      <c r="B30" s="17" t="s">
        <v>331</v>
      </c>
      <c r="C30" s="17">
        <v>2</v>
      </c>
    </row>
    <row r="31" spans="1:3" ht="15" customHeight="1" x14ac:dyDescent="0.3">
      <c r="A31" s="17" t="s">
        <v>359</v>
      </c>
      <c r="B31" s="17" t="s">
        <v>331</v>
      </c>
      <c r="C31" s="17">
        <v>5</v>
      </c>
    </row>
    <row r="32" spans="1:3" ht="15" customHeight="1" x14ac:dyDescent="0.3">
      <c r="A32" s="17" t="s">
        <v>360</v>
      </c>
      <c r="B32" s="17" t="s">
        <v>339</v>
      </c>
      <c r="C32" s="17">
        <v>4</v>
      </c>
    </row>
    <row r="33" spans="1:3" ht="15" customHeight="1" x14ac:dyDescent="0.3">
      <c r="A33" s="17" t="s">
        <v>361</v>
      </c>
      <c r="B33" s="17" t="s">
        <v>331</v>
      </c>
      <c r="C33" s="17">
        <v>4</v>
      </c>
    </row>
    <row r="34" spans="1:3" ht="15" customHeight="1" x14ac:dyDescent="0.3">
      <c r="A34" s="17" t="s">
        <v>362</v>
      </c>
      <c r="B34" s="17" t="s">
        <v>339</v>
      </c>
      <c r="C34" s="17">
        <v>4</v>
      </c>
    </row>
    <row r="35" spans="1:3" ht="15" customHeight="1" x14ac:dyDescent="0.3">
      <c r="A35" s="17" t="s">
        <v>363</v>
      </c>
      <c r="B35" s="17" t="s">
        <v>331</v>
      </c>
      <c r="C35" s="17">
        <v>3</v>
      </c>
    </row>
    <row r="36" spans="1:3" ht="15" customHeight="1" x14ac:dyDescent="0.3">
      <c r="A36" s="17" t="s">
        <v>364</v>
      </c>
      <c r="B36" s="17" t="s">
        <v>339</v>
      </c>
      <c r="C36" s="17">
        <v>6</v>
      </c>
    </row>
    <row r="37" spans="1:3" ht="15" customHeight="1" x14ac:dyDescent="0.3">
      <c r="A37" s="17" t="s">
        <v>365</v>
      </c>
      <c r="B37" s="17" t="s">
        <v>328</v>
      </c>
      <c r="C37" s="17">
        <v>4</v>
      </c>
    </row>
    <row r="38" spans="1:3" ht="15" customHeight="1" x14ac:dyDescent="0.3">
      <c r="A38" s="17" t="s">
        <v>366</v>
      </c>
      <c r="B38" s="17" t="s">
        <v>331</v>
      </c>
      <c r="C38" s="17">
        <v>7</v>
      </c>
    </row>
    <row r="39" spans="1:3" ht="15" customHeight="1" x14ac:dyDescent="0.3">
      <c r="A39" s="17" t="s">
        <v>367</v>
      </c>
      <c r="B39" s="17" t="s">
        <v>328</v>
      </c>
      <c r="C39" s="17">
        <v>4</v>
      </c>
    </row>
    <row r="40" spans="1:3" ht="15" customHeight="1" x14ac:dyDescent="0.3">
      <c r="A40" s="17" t="s">
        <v>368</v>
      </c>
      <c r="B40" s="17" t="s">
        <v>328</v>
      </c>
      <c r="C40" s="17">
        <v>7</v>
      </c>
    </row>
    <row r="41" spans="1:3" ht="15" customHeight="1" x14ac:dyDescent="0.3">
      <c r="A41" s="17" t="s">
        <v>369</v>
      </c>
      <c r="B41" s="17" t="s">
        <v>328</v>
      </c>
      <c r="C41" s="17">
        <v>7</v>
      </c>
    </row>
    <row r="42" spans="1:3" ht="15" customHeight="1" x14ac:dyDescent="0.3">
      <c r="A42" s="17" t="s">
        <v>370</v>
      </c>
      <c r="B42" s="17" t="s">
        <v>328</v>
      </c>
      <c r="C42" s="17">
        <v>4</v>
      </c>
    </row>
    <row r="43" spans="1:3" ht="15" customHeight="1" x14ac:dyDescent="0.3">
      <c r="A43" s="17" t="s">
        <v>371</v>
      </c>
      <c r="B43" s="17" t="s">
        <v>331</v>
      </c>
      <c r="C43" s="17">
        <v>5</v>
      </c>
    </row>
    <row r="44" spans="1:3" ht="15" customHeight="1" x14ac:dyDescent="0.3">
      <c r="A44" s="17" t="s">
        <v>372</v>
      </c>
      <c r="B44" s="17" t="s">
        <v>331</v>
      </c>
      <c r="C44" s="17">
        <v>3</v>
      </c>
    </row>
    <row r="45" spans="1:3" ht="15" customHeight="1" x14ac:dyDescent="0.3">
      <c r="A45" s="17" t="s">
        <v>373</v>
      </c>
      <c r="B45" s="17" t="s">
        <v>331</v>
      </c>
      <c r="C45" s="17">
        <v>6</v>
      </c>
    </row>
    <row r="46" spans="1:3" ht="15" customHeight="1" x14ac:dyDescent="0.3">
      <c r="A46" s="17" t="s">
        <v>374</v>
      </c>
      <c r="B46" s="17" t="s">
        <v>339</v>
      </c>
      <c r="C46" s="17">
        <v>3</v>
      </c>
    </row>
    <row r="47" spans="1:3" ht="15" customHeight="1" x14ac:dyDescent="0.3">
      <c r="A47" s="17" t="s">
        <v>375</v>
      </c>
      <c r="B47" s="17" t="s">
        <v>328</v>
      </c>
      <c r="C47" s="17">
        <v>7</v>
      </c>
    </row>
    <row r="48" spans="1:3" ht="15" customHeight="1" x14ac:dyDescent="0.3">
      <c r="A48" s="17" t="s">
        <v>376</v>
      </c>
      <c r="B48" s="17" t="s">
        <v>331</v>
      </c>
      <c r="C48" s="17">
        <v>4</v>
      </c>
    </row>
    <row r="49" spans="1:3" ht="15" customHeight="1" x14ac:dyDescent="0.3">
      <c r="A49" s="17" t="s">
        <v>377</v>
      </c>
      <c r="B49" s="17" t="s">
        <v>331</v>
      </c>
      <c r="C49" s="17">
        <v>5</v>
      </c>
    </row>
    <row r="50" spans="1:3" ht="15" customHeight="1" x14ac:dyDescent="0.3">
      <c r="A50" s="17" t="s">
        <v>378</v>
      </c>
      <c r="B50" s="17" t="s">
        <v>339</v>
      </c>
      <c r="C50" s="17">
        <v>1</v>
      </c>
    </row>
    <row r="51" spans="1:3" ht="15" customHeight="1" x14ac:dyDescent="0.3">
      <c r="A51" s="17" t="s">
        <v>379</v>
      </c>
      <c r="B51" s="17" t="s">
        <v>339</v>
      </c>
      <c r="C51" s="17">
        <v>4</v>
      </c>
    </row>
    <row r="52" spans="1:3" ht="15" customHeight="1" x14ac:dyDescent="0.3">
      <c r="A52" s="17" t="s">
        <v>380</v>
      </c>
      <c r="B52" s="17" t="s">
        <v>339</v>
      </c>
      <c r="C52" s="17">
        <v>5</v>
      </c>
    </row>
    <row r="53" spans="1:3" ht="15" customHeight="1" x14ac:dyDescent="0.3">
      <c r="A53" s="17" t="s">
        <v>381</v>
      </c>
      <c r="B53" s="17" t="s">
        <v>339</v>
      </c>
      <c r="C53" s="17">
        <v>2</v>
      </c>
    </row>
    <row r="54" spans="1:3" ht="15" customHeight="1" x14ac:dyDescent="0.3">
      <c r="A54" s="17" t="s">
        <v>382</v>
      </c>
      <c r="B54" s="17" t="s">
        <v>339</v>
      </c>
      <c r="C54" s="17">
        <v>5</v>
      </c>
    </row>
    <row r="55" spans="1:3" ht="15" customHeight="1" x14ac:dyDescent="0.3">
      <c r="A55" s="17" t="s">
        <v>383</v>
      </c>
      <c r="B55" s="17" t="s">
        <v>339</v>
      </c>
      <c r="C55" s="17">
        <v>4</v>
      </c>
    </row>
    <row r="56" spans="1:3" ht="15" customHeight="1" x14ac:dyDescent="0.3">
      <c r="A56" s="17" t="s">
        <v>384</v>
      </c>
      <c r="B56" s="17" t="s">
        <v>339</v>
      </c>
      <c r="C56" s="17">
        <v>4</v>
      </c>
    </row>
    <row r="57" spans="1:3" ht="15" customHeight="1" x14ac:dyDescent="0.3">
      <c r="A57" s="17" t="s">
        <v>385</v>
      </c>
      <c r="B57" s="17" t="s">
        <v>331</v>
      </c>
      <c r="C57" s="17">
        <v>4</v>
      </c>
    </row>
    <row r="58" spans="1:3" ht="15" customHeight="1" x14ac:dyDescent="0.3">
      <c r="A58" s="17" t="s">
        <v>386</v>
      </c>
      <c r="B58" s="17" t="s">
        <v>331</v>
      </c>
      <c r="C58" s="17">
        <v>8</v>
      </c>
    </row>
    <row r="59" spans="1:3" ht="15" customHeight="1" x14ac:dyDescent="0.3">
      <c r="A59" s="17" t="s">
        <v>387</v>
      </c>
      <c r="B59" s="17" t="s">
        <v>328</v>
      </c>
      <c r="C59" s="17">
        <v>3</v>
      </c>
    </row>
    <row r="60" spans="1:3" ht="15" customHeight="1" x14ac:dyDescent="0.3">
      <c r="A60" s="17" t="s">
        <v>388</v>
      </c>
      <c r="B60" s="17" t="s">
        <v>328</v>
      </c>
      <c r="C60" s="17">
        <v>2</v>
      </c>
    </row>
    <row r="61" spans="1:3" ht="15" customHeight="1" x14ac:dyDescent="0.3">
      <c r="A61" s="17" t="s">
        <v>389</v>
      </c>
      <c r="B61" s="17" t="s">
        <v>339</v>
      </c>
      <c r="C61" s="17">
        <v>2</v>
      </c>
    </row>
    <row r="62" spans="1:3" ht="15" customHeight="1" x14ac:dyDescent="0.3">
      <c r="A62" s="17" t="s">
        <v>390</v>
      </c>
      <c r="B62" s="17" t="s">
        <v>339</v>
      </c>
      <c r="C62" s="17">
        <v>2</v>
      </c>
    </row>
    <row r="63" spans="1:3" ht="15" customHeight="1" x14ac:dyDescent="0.3">
      <c r="A63" s="17" t="s">
        <v>391</v>
      </c>
      <c r="B63" s="17" t="s">
        <v>328</v>
      </c>
      <c r="C63" s="17">
        <v>2</v>
      </c>
    </row>
    <row r="64" spans="1:3" ht="15" customHeight="1" x14ac:dyDescent="0.3">
      <c r="A64" s="17" t="s">
        <v>392</v>
      </c>
      <c r="B64" s="17" t="s">
        <v>328</v>
      </c>
      <c r="C64" s="17">
        <v>3</v>
      </c>
    </row>
    <row r="65" spans="1:3" ht="15" customHeight="1" x14ac:dyDescent="0.3">
      <c r="A65" s="17" t="s">
        <v>393</v>
      </c>
      <c r="B65" s="17" t="s">
        <v>339</v>
      </c>
      <c r="C65" s="17">
        <v>4</v>
      </c>
    </row>
    <row r="66" spans="1:3" ht="15" customHeight="1" x14ac:dyDescent="0.3">
      <c r="A66" s="17" t="s">
        <v>394</v>
      </c>
      <c r="B66" s="17" t="s">
        <v>339</v>
      </c>
      <c r="C66" s="17">
        <v>4</v>
      </c>
    </row>
    <row r="67" spans="1:3" ht="15" customHeight="1" x14ac:dyDescent="0.3">
      <c r="A67" s="17" t="s">
        <v>395</v>
      </c>
      <c r="B67" s="17" t="s">
        <v>331</v>
      </c>
      <c r="C67" s="17">
        <v>3</v>
      </c>
    </row>
    <row r="68" spans="1:3" ht="15" customHeight="1" x14ac:dyDescent="0.3">
      <c r="A68" s="17" t="s">
        <v>396</v>
      </c>
      <c r="B68" s="17" t="s">
        <v>331</v>
      </c>
      <c r="C68" s="17">
        <v>6</v>
      </c>
    </row>
    <row r="69" spans="1:3" ht="15" customHeight="1" x14ac:dyDescent="0.3">
      <c r="A69" s="17" t="s">
        <v>397</v>
      </c>
      <c r="B69" s="17" t="s">
        <v>328</v>
      </c>
      <c r="C69" s="17">
        <v>2</v>
      </c>
    </row>
    <row r="70" spans="1:3" ht="15" customHeight="1" x14ac:dyDescent="0.3">
      <c r="A70" s="17" t="s">
        <v>398</v>
      </c>
      <c r="B70" s="17" t="s">
        <v>328</v>
      </c>
      <c r="C70" s="17">
        <v>2</v>
      </c>
    </row>
    <row r="71" spans="1:3" ht="15" customHeight="1" x14ac:dyDescent="0.3">
      <c r="A71" s="17" t="s">
        <v>399</v>
      </c>
      <c r="B71" s="17" t="s">
        <v>328</v>
      </c>
      <c r="C71" s="17">
        <v>3</v>
      </c>
    </row>
    <row r="72" spans="1:3" ht="15" customHeight="1" x14ac:dyDescent="0.3">
      <c r="A72" s="17" t="s">
        <v>400</v>
      </c>
      <c r="B72" s="17" t="s">
        <v>331</v>
      </c>
      <c r="C72" s="17">
        <v>3</v>
      </c>
    </row>
    <row r="73" spans="1:3" ht="15" customHeight="1" x14ac:dyDescent="0.3">
      <c r="A73" s="17" t="s">
        <v>401</v>
      </c>
      <c r="B73" s="17" t="s">
        <v>328</v>
      </c>
      <c r="C73" s="17">
        <v>1</v>
      </c>
    </row>
    <row r="74" spans="1:3" ht="15" customHeight="1" x14ac:dyDescent="0.3">
      <c r="A74" s="17" t="s">
        <v>402</v>
      </c>
      <c r="B74" s="17" t="s">
        <v>331</v>
      </c>
      <c r="C74" s="17">
        <v>1</v>
      </c>
    </row>
    <row r="75" spans="1:3" ht="15" customHeight="1" x14ac:dyDescent="0.3">
      <c r="A75" s="17" t="s">
        <v>403</v>
      </c>
      <c r="B75" s="17" t="s">
        <v>328</v>
      </c>
      <c r="C75" s="17">
        <v>2</v>
      </c>
    </row>
    <row r="76" spans="1:3" ht="15" customHeight="1" x14ac:dyDescent="0.3">
      <c r="A76" s="17" t="s">
        <v>404</v>
      </c>
      <c r="B76" s="17" t="s">
        <v>328</v>
      </c>
      <c r="C76" s="17">
        <v>6</v>
      </c>
    </row>
    <row r="77" spans="1:3" ht="15" customHeight="1" x14ac:dyDescent="0.3">
      <c r="A77" s="17" t="s">
        <v>405</v>
      </c>
      <c r="B77" s="17" t="s">
        <v>331</v>
      </c>
      <c r="C77" s="17">
        <v>9</v>
      </c>
    </row>
    <row r="78" spans="1:3" ht="15" customHeight="1" x14ac:dyDescent="0.3">
      <c r="A78" s="17" t="s">
        <v>406</v>
      </c>
      <c r="B78" s="17" t="s">
        <v>339</v>
      </c>
      <c r="C78" s="17">
        <v>4</v>
      </c>
    </row>
    <row r="79" spans="1:3" ht="15" customHeight="1" x14ac:dyDescent="0.3">
      <c r="A79" s="17" t="s">
        <v>407</v>
      </c>
      <c r="B79" s="17" t="s">
        <v>328</v>
      </c>
      <c r="C79" s="17">
        <v>3</v>
      </c>
    </row>
    <row r="80" spans="1:3" ht="15" customHeight="1" x14ac:dyDescent="0.3">
      <c r="A80" s="17" t="s">
        <v>408</v>
      </c>
      <c r="B80" s="17" t="s">
        <v>339</v>
      </c>
      <c r="C80" s="17">
        <v>4</v>
      </c>
    </row>
    <row r="81" spans="1:3" ht="15" customHeight="1" x14ac:dyDescent="0.3">
      <c r="A81" s="17" t="s">
        <v>409</v>
      </c>
      <c r="B81" s="17" t="s">
        <v>331</v>
      </c>
      <c r="C81" s="17">
        <v>1</v>
      </c>
    </row>
    <row r="82" spans="1:3" ht="15" customHeight="1" x14ac:dyDescent="0.3">
      <c r="A82" s="17" t="s">
        <v>410</v>
      </c>
      <c r="B82" s="17" t="s">
        <v>331</v>
      </c>
      <c r="C82" s="17">
        <v>4</v>
      </c>
    </row>
    <row r="83" spans="1:3" ht="15" customHeight="1" x14ac:dyDescent="0.3">
      <c r="A83" s="17" t="s">
        <v>411</v>
      </c>
      <c r="B83" s="17" t="s">
        <v>331</v>
      </c>
      <c r="C83" s="17">
        <v>2</v>
      </c>
    </row>
    <row r="84" spans="1:3" ht="15" customHeight="1" x14ac:dyDescent="0.3">
      <c r="A84" s="17" t="s">
        <v>412</v>
      </c>
      <c r="B84" s="17" t="s">
        <v>328</v>
      </c>
      <c r="C84" s="17">
        <v>5</v>
      </c>
    </row>
    <row r="85" spans="1:3" ht="15" customHeight="1" x14ac:dyDescent="0.3">
      <c r="A85" s="17" t="s">
        <v>413</v>
      </c>
      <c r="B85" s="17" t="s">
        <v>339</v>
      </c>
      <c r="C85" s="17">
        <v>2</v>
      </c>
    </row>
    <row r="86" spans="1:3" ht="15" customHeight="1" x14ac:dyDescent="0.3">
      <c r="A86" s="17" t="s">
        <v>414</v>
      </c>
      <c r="B86" s="17" t="s">
        <v>328</v>
      </c>
      <c r="C86" s="17">
        <v>3</v>
      </c>
    </row>
    <row r="87" spans="1:3" ht="15" customHeight="1" x14ac:dyDescent="0.3">
      <c r="A87" s="17" t="s">
        <v>415</v>
      </c>
      <c r="B87" s="17" t="s">
        <v>339</v>
      </c>
      <c r="C87" s="17">
        <v>4</v>
      </c>
    </row>
    <row r="88" spans="1:3" ht="15" customHeight="1" x14ac:dyDescent="0.3">
      <c r="A88" s="17" t="s">
        <v>416</v>
      </c>
      <c r="B88" s="17" t="s">
        <v>331</v>
      </c>
      <c r="C88" s="17">
        <v>7</v>
      </c>
    </row>
    <row r="89" spans="1:3" ht="15" customHeight="1" x14ac:dyDescent="0.3">
      <c r="A89" s="17" t="s">
        <v>417</v>
      </c>
      <c r="B89" s="17" t="s">
        <v>339</v>
      </c>
      <c r="C89" s="17">
        <v>5</v>
      </c>
    </row>
    <row r="90" spans="1:3" ht="15" customHeight="1" x14ac:dyDescent="0.3">
      <c r="A90" s="17" t="s">
        <v>418</v>
      </c>
      <c r="B90" s="17" t="s">
        <v>331</v>
      </c>
      <c r="C90" s="17">
        <v>4</v>
      </c>
    </row>
    <row r="91" spans="1:3" ht="15" customHeight="1" x14ac:dyDescent="0.3">
      <c r="A91" s="17" t="s">
        <v>419</v>
      </c>
      <c r="B91" s="17" t="s">
        <v>339</v>
      </c>
      <c r="C91" s="17">
        <v>6</v>
      </c>
    </row>
    <row r="92" spans="1:3" ht="15" customHeight="1" x14ac:dyDescent="0.3">
      <c r="A92" s="17" t="s">
        <v>420</v>
      </c>
      <c r="B92" s="17" t="s">
        <v>328</v>
      </c>
      <c r="C92" s="17">
        <v>5</v>
      </c>
    </row>
    <row r="93" spans="1:3" ht="15" customHeight="1" x14ac:dyDescent="0.3">
      <c r="A93" s="17" t="s">
        <v>421</v>
      </c>
      <c r="B93" s="17" t="s">
        <v>328</v>
      </c>
      <c r="C93" s="17">
        <v>2</v>
      </c>
    </row>
    <row r="94" spans="1:3" ht="15" customHeight="1" x14ac:dyDescent="0.3">
      <c r="A94" s="17" t="s">
        <v>422</v>
      </c>
      <c r="B94" s="17" t="s">
        <v>328</v>
      </c>
      <c r="C94" s="17">
        <v>4</v>
      </c>
    </row>
    <row r="95" spans="1:3" ht="15" customHeight="1" x14ac:dyDescent="0.3">
      <c r="A95" s="17" t="s">
        <v>423</v>
      </c>
      <c r="B95" s="17" t="s">
        <v>328</v>
      </c>
      <c r="C95" s="17">
        <v>5</v>
      </c>
    </row>
    <row r="96" spans="1:3" ht="15" customHeight="1" x14ac:dyDescent="0.3">
      <c r="A96" s="17" t="s">
        <v>424</v>
      </c>
      <c r="B96" s="17" t="s">
        <v>328</v>
      </c>
      <c r="C96" s="17">
        <v>2</v>
      </c>
    </row>
    <row r="97" spans="1:3" ht="15" customHeight="1" x14ac:dyDescent="0.3">
      <c r="A97" s="17" t="s">
        <v>425</v>
      </c>
      <c r="B97" s="17" t="s">
        <v>328</v>
      </c>
      <c r="C97" s="17">
        <v>8</v>
      </c>
    </row>
    <row r="98" spans="1:3" ht="15" customHeight="1" x14ac:dyDescent="0.3">
      <c r="A98" s="17" t="s">
        <v>426</v>
      </c>
      <c r="B98" s="17" t="s">
        <v>328</v>
      </c>
      <c r="C98" s="17">
        <v>7</v>
      </c>
    </row>
    <row r="99" spans="1:3" ht="15" customHeight="1" x14ac:dyDescent="0.3">
      <c r="A99" s="17" t="s">
        <v>427</v>
      </c>
      <c r="B99" s="17" t="s">
        <v>328</v>
      </c>
      <c r="C99" s="17">
        <v>2</v>
      </c>
    </row>
    <row r="100" spans="1:3" ht="15" customHeight="1" x14ac:dyDescent="0.3">
      <c r="A100" s="17" t="s">
        <v>428</v>
      </c>
      <c r="B100" s="17" t="s">
        <v>331</v>
      </c>
      <c r="C100" s="17">
        <v>4</v>
      </c>
    </row>
    <row r="101" spans="1:3" ht="15" customHeight="1" x14ac:dyDescent="0.3">
      <c r="A101" s="17" t="s">
        <v>429</v>
      </c>
      <c r="B101" s="17" t="s">
        <v>328</v>
      </c>
      <c r="C101" s="17">
        <v>5</v>
      </c>
    </row>
    <row r="102" spans="1:3" ht="15" customHeight="1" x14ac:dyDescent="0.3">
      <c r="A102" s="17" t="s">
        <v>430</v>
      </c>
      <c r="B102" s="17" t="s">
        <v>328</v>
      </c>
      <c r="C102" s="17">
        <v>2</v>
      </c>
    </row>
    <row r="103" spans="1:3" ht="15" customHeight="1" x14ac:dyDescent="0.3">
      <c r="A103" s="17" t="s">
        <v>431</v>
      </c>
      <c r="B103" s="17" t="s">
        <v>339</v>
      </c>
      <c r="C103" s="17">
        <v>5</v>
      </c>
    </row>
    <row r="104" spans="1:3" ht="15" customHeight="1" x14ac:dyDescent="0.3">
      <c r="A104" s="17" t="s">
        <v>432</v>
      </c>
      <c r="B104" s="17" t="s">
        <v>331</v>
      </c>
      <c r="C104" s="17">
        <v>3</v>
      </c>
    </row>
    <row r="105" spans="1:3" ht="15" customHeight="1" x14ac:dyDescent="0.3">
      <c r="A105" s="17" t="s">
        <v>433</v>
      </c>
      <c r="B105" s="17" t="s">
        <v>331</v>
      </c>
      <c r="C105" s="17">
        <v>2</v>
      </c>
    </row>
    <row r="106" spans="1:3" ht="15" customHeight="1" x14ac:dyDescent="0.3">
      <c r="A106" s="17" t="s">
        <v>434</v>
      </c>
      <c r="B106" s="17" t="s">
        <v>331</v>
      </c>
      <c r="C106" s="17">
        <v>4</v>
      </c>
    </row>
    <row r="107" spans="1:3" ht="15" customHeight="1" x14ac:dyDescent="0.3">
      <c r="A107" s="17" t="s">
        <v>435</v>
      </c>
      <c r="B107" s="17" t="s">
        <v>331</v>
      </c>
      <c r="C107" s="17">
        <v>4</v>
      </c>
    </row>
    <row r="108" spans="1:3" ht="15" customHeight="1" x14ac:dyDescent="0.3">
      <c r="A108" s="17" t="s">
        <v>436</v>
      </c>
      <c r="B108" s="17" t="s">
        <v>339</v>
      </c>
      <c r="C108" s="17">
        <v>2</v>
      </c>
    </row>
    <row r="109" spans="1:3" ht="15" customHeight="1" x14ac:dyDescent="0.3">
      <c r="A109" s="17" t="s">
        <v>437</v>
      </c>
      <c r="B109" s="17" t="s">
        <v>331</v>
      </c>
      <c r="C109" s="17">
        <v>2</v>
      </c>
    </row>
    <row r="110" spans="1:3" ht="15" customHeight="1" x14ac:dyDescent="0.3">
      <c r="A110" s="17" t="s">
        <v>438</v>
      </c>
      <c r="B110" s="17" t="s">
        <v>328</v>
      </c>
      <c r="C110" s="17">
        <v>2</v>
      </c>
    </row>
    <row r="111" spans="1:3" ht="15" customHeight="1" x14ac:dyDescent="0.3">
      <c r="A111" s="17" t="s">
        <v>439</v>
      </c>
      <c r="B111" s="17" t="s">
        <v>339</v>
      </c>
      <c r="C111" s="17">
        <v>3</v>
      </c>
    </row>
    <row r="112" spans="1:3" ht="15" customHeight="1" x14ac:dyDescent="0.3">
      <c r="A112" s="17" t="s">
        <v>440</v>
      </c>
      <c r="B112" s="17" t="s">
        <v>328</v>
      </c>
      <c r="C112" s="17">
        <v>0</v>
      </c>
    </row>
    <row r="113" spans="1:3" ht="15" customHeight="1" x14ac:dyDescent="0.3">
      <c r="A113" s="17" t="s">
        <v>441</v>
      </c>
      <c r="B113" s="17" t="s">
        <v>328</v>
      </c>
      <c r="C113" s="17">
        <v>5</v>
      </c>
    </row>
    <row r="114" spans="1:3" ht="15" customHeight="1" x14ac:dyDescent="0.3">
      <c r="A114" s="17" t="s">
        <v>442</v>
      </c>
      <c r="B114" s="17" t="s">
        <v>339</v>
      </c>
      <c r="C114" s="17">
        <v>2</v>
      </c>
    </row>
    <row r="115" spans="1:3" ht="15" customHeight="1" x14ac:dyDescent="0.3">
      <c r="A115" s="17" t="s">
        <v>443</v>
      </c>
      <c r="B115" s="17" t="s">
        <v>328</v>
      </c>
      <c r="C115" s="17">
        <v>1</v>
      </c>
    </row>
    <row r="116" spans="1:3" ht="15" customHeight="1" x14ac:dyDescent="0.3">
      <c r="A116" s="17" t="s">
        <v>444</v>
      </c>
      <c r="B116" s="17" t="s">
        <v>331</v>
      </c>
      <c r="C116" s="17">
        <v>2</v>
      </c>
    </row>
    <row r="117" spans="1:3" ht="15" customHeight="1" x14ac:dyDescent="0.3">
      <c r="A117" s="17" t="s">
        <v>445</v>
      </c>
      <c r="B117" s="17" t="s">
        <v>339</v>
      </c>
      <c r="C117" s="17">
        <v>5</v>
      </c>
    </row>
    <row r="118" spans="1:3" ht="15" customHeight="1" x14ac:dyDescent="0.3">
      <c r="A118" s="17" t="s">
        <v>446</v>
      </c>
      <c r="B118" s="17" t="s">
        <v>328</v>
      </c>
      <c r="C118" s="17">
        <v>4</v>
      </c>
    </row>
    <row r="119" spans="1:3" ht="15" customHeight="1" x14ac:dyDescent="0.3">
      <c r="A119" s="17" t="s">
        <v>447</v>
      </c>
      <c r="B119" s="17" t="s">
        <v>328</v>
      </c>
      <c r="C119" s="17">
        <v>2</v>
      </c>
    </row>
    <row r="120" spans="1:3" ht="15" customHeight="1" x14ac:dyDescent="0.3">
      <c r="A120" s="17" t="s">
        <v>448</v>
      </c>
      <c r="B120" s="17" t="s">
        <v>339</v>
      </c>
      <c r="C120" s="17">
        <v>4</v>
      </c>
    </row>
    <row r="121" spans="1:3" ht="15" customHeight="1" x14ac:dyDescent="0.3">
      <c r="A121" s="17" t="s">
        <v>449</v>
      </c>
      <c r="B121" s="17" t="s">
        <v>328</v>
      </c>
      <c r="C121" s="17">
        <v>4</v>
      </c>
    </row>
    <row r="122" spans="1:3" ht="15" customHeight="1" x14ac:dyDescent="0.3">
      <c r="A122" s="17" t="s">
        <v>450</v>
      </c>
      <c r="B122" s="17" t="s">
        <v>328</v>
      </c>
      <c r="C122" s="17">
        <v>6</v>
      </c>
    </row>
    <row r="123" spans="1:3" ht="15" customHeight="1" x14ac:dyDescent="0.3">
      <c r="A123" s="17" t="s">
        <v>451</v>
      </c>
      <c r="B123" s="17" t="s">
        <v>339</v>
      </c>
      <c r="C123" s="17">
        <v>3</v>
      </c>
    </row>
    <row r="124" spans="1:3" ht="15" customHeight="1" x14ac:dyDescent="0.3">
      <c r="A124" s="17" t="s">
        <v>452</v>
      </c>
      <c r="B124" s="17" t="s">
        <v>328</v>
      </c>
      <c r="C124" s="17">
        <v>1</v>
      </c>
    </row>
    <row r="125" spans="1:3" ht="15" customHeight="1" x14ac:dyDescent="0.3">
      <c r="A125" s="17" t="s">
        <v>453</v>
      </c>
      <c r="B125" s="17" t="s">
        <v>328</v>
      </c>
      <c r="C125" s="17">
        <v>7</v>
      </c>
    </row>
    <row r="126" spans="1:3" ht="15" customHeight="1" x14ac:dyDescent="0.3">
      <c r="A126" s="17" t="s">
        <v>454</v>
      </c>
      <c r="B126" s="17" t="s">
        <v>339</v>
      </c>
      <c r="C126" s="17">
        <v>4</v>
      </c>
    </row>
    <row r="127" spans="1:3" ht="15" customHeight="1" x14ac:dyDescent="0.3">
      <c r="A127" s="17" t="s">
        <v>455</v>
      </c>
      <c r="B127" s="17" t="s">
        <v>328</v>
      </c>
      <c r="C127" s="17">
        <v>2</v>
      </c>
    </row>
    <row r="128" spans="1:3" ht="15" customHeight="1" x14ac:dyDescent="0.3">
      <c r="A128" s="17" t="s">
        <v>456</v>
      </c>
      <c r="B128" s="17" t="s">
        <v>331</v>
      </c>
      <c r="C128" s="17">
        <v>3</v>
      </c>
    </row>
    <row r="129" spans="1:3" ht="15" customHeight="1" x14ac:dyDescent="0.3">
      <c r="A129" s="17" t="s">
        <v>457</v>
      </c>
      <c r="B129" s="17" t="s">
        <v>328</v>
      </c>
      <c r="C129" s="17">
        <v>1</v>
      </c>
    </row>
    <row r="130" spans="1:3" ht="15" customHeight="1" x14ac:dyDescent="0.3">
      <c r="A130" s="17" t="s">
        <v>458</v>
      </c>
      <c r="B130" s="17" t="s">
        <v>331</v>
      </c>
      <c r="C130" s="17">
        <v>2</v>
      </c>
    </row>
    <row r="131" spans="1:3" ht="15" customHeight="1" x14ac:dyDescent="0.3">
      <c r="A131" s="17" t="s">
        <v>459</v>
      </c>
      <c r="B131" s="17" t="s">
        <v>328</v>
      </c>
      <c r="C131" s="17">
        <v>6</v>
      </c>
    </row>
    <row r="132" spans="1:3" ht="15" customHeight="1" x14ac:dyDescent="0.3">
      <c r="A132" s="17" t="s">
        <v>460</v>
      </c>
      <c r="B132" s="17" t="s">
        <v>328</v>
      </c>
      <c r="C132" s="17">
        <v>2</v>
      </c>
    </row>
    <row r="133" spans="1:3" ht="15" customHeight="1" x14ac:dyDescent="0.3">
      <c r="A133" s="17" t="s">
        <v>461</v>
      </c>
      <c r="B133" s="17" t="s">
        <v>331</v>
      </c>
      <c r="C133" s="17">
        <v>4</v>
      </c>
    </row>
    <row r="134" spans="1:3" ht="15" customHeight="1" x14ac:dyDescent="0.3">
      <c r="A134" s="17" t="s">
        <v>462</v>
      </c>
      <c r="B134" s="17" t="s">
        <v>331</v>
      </c>
      <c r="C134" s="17">
        <v>5</v>
      </c>
    </row>
    <row r="135" spans="1:3" ht="15" customHeight="1" x14ac:dyDescent="0.3">
      <c r="A135" s="17" t="s">
        <v>463</v>
      </c>
      <c r="B135" s="17" t="s">
        <v>328</v>
      </c>
      <c r="C135" s="17">
        <v>4</v>
      </c>
    </row>
    <row r="136" spans="1:3" ht="15" customHeight="1" x14ac:dyDescent="0.3">
      <c r="A136" s="17" t="s">
        <v>464</v>
      </c>
      <c r="B136" s="17" t="s">
        <v>328</v>
      </c>
      <c r="C136" s="17">
        <v>4</v>
      </c>
    </row>
    <row r="137" spans="1:3" ht="15" customHeight="1" x14ac:dyDescent="0.3">
      <c r="A137" s="17" t="s">
        <v>465</v>
      </c>
      <c r="B137" s="17" t="s">
        <v>339</v>
      </c>
      <c r="C137" s="17">
        <v>5</v>
      </c>
    </row>
    <row r="138" spans="1:3" ht="15" customHeight="1" x14ac:dyDescent="0.3">
      <c r="A138" s="17" t="s">
        <v>466</v>
      </c>
      <c r="B138" s="17" t="s">
        <v>331</v>
      </c>
      <c r="C138" s="17">
        <v>4</v>
      </c>
    </row>
    <row r="139" spans="1:3" ht="15" customHeight="1" x14ac:dyDescent="0.3">
      <c r="A139" s="17" t="s">
        <v>467</v>
      </c>
      <c r="B139" s="17" t="s">
        <v>331</v>
      </c>
      <c r="C139" s="17">
        <v>1</v>
      </c>
    </row>
    <row r="140" spans="1:3" ht="15" customHeight="1" x14ac:dyDescent="0.3">
      <c r="A140" s="17" t="s">
        <v>468</v>
      </c>
      <c r="B140" s="17" t="s">
        <v>339</v>
      </c>
      <c r="C140" s="17">
        <v>4</v>
      </c>
    </row>
    <row r="141" spans="1:3" ht="15" customHeight="1" x14ac:dyDescent="0.3">
      <c r="A141" s="17" t="s">
        <v>469</v>
      </c>
      <c r="B141" s="17" t="s">
        <v>328</v>
      </c>
      <c r="C141" s="17">
        <v>5</v>
      </c>
    </row>
    <row r="142" spans="1:3" ht="15" customHeight="1" x14ac:dyDescent="0.3">
      <c r="A142" s="17" t="s">
        <v>470</v>
      </c>
      <c r="B142" s="17" t="s">
        <v>331</v>
      </c>
      <c r="C142" s="17">
        <v>5</v>
      </c>
    </row>
    <row r="143" spans="1:3" ht="15" customHeight="1" x14ac:dyDescent="0.3">
      <c r="A143" s="17" t="s">
        <v>471</v>
      </c>
      <c r="B143" s="17" t="s">
        <v>339</v>
      </c>
      <c r="C143" s="17">
        <v>5</v>
      </c>
    </row>
    <row r="144" spans="1:3" ht="15" customHeight="1" x14ac:dyDescent="0.3">
      <c r="A144" s="17" t="s">
        <v>472</v>
      </c>
      <c r="B144" s="17" t="s">
        <v>328</v>
      </c>
      <c r="C144" s="17">
        <v>5</v>
      </c>
    </row>
    <row r="145" spans="1:3" ht="15" customHeight="1" x14ac:dyDescent="0.3">
      <c r="A145" s="17" t="s">
        <v>473</v>
      </c>
      <c r="B145" s="17" t="s">
        <v>339</v>
      </c>
      <c r="C145" s="17">
        <v>0</v>
      </c>
    </row>
    <row r="146" spans="1:3" ht="15" customHeight="1" x14ac:dyDescent="0.3">
      <c r="A146" s="17" t="s">
        <v>474</v>
      </c>
      <c r="B146" s="17" t="s">
        <v>331</v>
      </c>
      <c r="C146" s="17">
        <v>5</v>
      </c>
    </row>
    <row r="147" spans="1:3" ht="15" customHeight="1" x14ac:dyDescent="0.3">
      <c r="A147" s="17" t="s">
        <v>475</v>
      </c>
      <c r="B147" s="17" t="s">
        <v>328</v>
      </c>
      <c r="C147" s="17">
        <v>3</v>
      </c>
    </row>
    <row r="148" spans="1:3" ht="15" customHeight="1" x14ac:dyDescent="0.3">
      <c r="A148" s="17" t="s">
        <v>476</v>
      </c>
      <c r="B148" s="17" t="s">
        <v>339</v>
      </c>
      <c r="C148" s="17">
        <v>3</v>
      </c>
    </row>
    <row r="149" spans="1:3" ht="15" customHeight="1" x14ac:dyDescent="0.3">
      <c r="A149" s="17" t="s">
        <v>477</v>
      </c>
      <c r="B149" s="17" t="s">
        <v>339</v>
      </c>
      <c r="C149" s="17">
        <v>4</v>
      </c>
    </row>
    <row r="150" spans="1:3" ht="15" customHeight="1" x14ac:dyDescent="0.3">
      <c r="A150" s="17" t="s">
        <v>478</v>
      </c>
      <c r="B150" s="17" t="s">
        <v>339</v>
      </c>
      <c r="C150" s="17">
        <v>2</v>
      </c>
    </row>
    <row r="151" spans="1:3" ht="15" customHeight="1" x14ac:dyDescent="0.3">
      <c r="A151" s="17" t="s">
        <v>479</v>
      </c>
      <c r="B151" s="17" t="s">
        <v>339</v>
      </c>
      <c r="C151" s="17">
        <v>2</v>
      </c>
    </row>
    <row r="152" spans="1:3" ht="15" customHeight="1" x14ac:dyDescent="0.3">
      <c r="A152" s="17" t="s">
        <v>480</v>
      </c>
      <c r="B152" s="17" t="s">
        <v>328</v>
      </c>
      <c r="C152" s="17">
        <v>1</v>
      </c>
    </row>
    <row r="153" spans="1:3" ht="15" customHeight="1" x14ac:dyDescent="0.3">
      <c r="A153" s="17" t="s">
        <v>481</v>
      </c>
      <c r="B153" s="17" t="s">
        <v>331</v>
      </c>
      <c r="C153" s="17">
        <v>4</v>
      </c>
    </row>
    <row r="154" spans="1:3" ht="15" customHeight="1" x14ac:dyDescent="0.3">
      <c r="A154" s="17" t="s">
        <v>482</v>
      </c>
      <c r="B154" s="17" t="s">
        <v>339</v>
      </c>
      <c r="C154" s="17">
        <v>0</v>
      </c>
    </row>
    <row r="155" spans="1:3" ht="15" customHeight="1" x14ac:dyDescent="0.3">
      <c r="A155" s="17" t="s">
        <v>483</v>
      </c>
      <c r="B155" s="17" t="s">
        <v>339</v>
      </c>
      <c r="C155" s="17">
        <v>2</v>
      </c>
    </row>
    <row r="156" spans="1:3" ht="15" customHeight="1" x14ac:dyDescent="0.3">
      <c r="A156" s="17" t="s">
        <v>484</v>
      </c>
      <c r="B156" s="17" t="s">
        <v>328</v>
      </c>
      <c r="C156" s="17">
        <v>4</v>
      </c>
    </row>
    <row r="157" spans="1:3" ht="15" customHeight="1" x14ac:dyDescent="0.3">
      <c r="A157" s="17" t="s">
        <v>485</v>
      </c>
      <c r="B157" s="17" t="s">
        <v>339</v>
      </c>
      <c r="C157" s="17">
        <v>5</v>
      </c>
    </row>
    <row r="158" spans="1:3" ht="15" customHeight="1" x14ac:dyDescent="0.3">
      <c r="A158" s="17" t="s">
        <v>486</v>
      </c>
      <c r="B158" s="17" t="s">
        <v>328</v>
      </c>
      <c r="C158" s="17">
        <v>0</v>
      </c>
    </row>
    <row r="159" spans="1:3" ht="15" customHeight="1" x14ac:dyDescent="0.3">
      <c r="A159" s="17" t="s">
        <v>487</v>
      </c>
      <c r="B159" s="17" t="s">
        <v>331</v>
      </c>
      <c r="C159" s="17">
        <v>2</v>
      </c>
    </row>
    <row r="160" spans="1:3" ht="15" customHeight="1" x14ac:dyDescent="0.3">
      <c r="A160" s="17" t="s">
        <v>488</v>
      </c>
      <c r="B160" s="17" t="s">
        <v>328</v>
      </c>
      <c r="C160" s="17">
        <v>6</v>
      </c>
    </row>
    <row r="161" spans="1:3" ht="15" customHeight="1" x14ac:dyDescent="0.3">
      <c r="A161" s="17" t="s">
        <v>489</v>
      </c>
      <c r="B161" s="17" t="s">
        <v>339</v>
      </c>
      <c r="C161" s="17">
        <v>3</v>
      </c>
    </row>
    <row r="162" spans="1:3" ht="15" customHeight="1" x14ac:dyDescent="0.3">
      <c r="A162" s="17" t="s">
        <v>490</v>
      </c>
      <c r="B162" s="17" t="s">
        <v>339</v>
      </c>
      <c r="C162" s="17">
        <v>4</v>
      </c>
    </row>
    <row r="163" spans="1:3" ht="15" customHeight="1" x14ac:dyDescent="0.3">
      <c r="A163" s="17" t="s">
        <v>491</v>
      </c>
      <c r="B163" s="17" t="s">
        <v>328</v>
      </c>
      <c r="C163" s="17">
        <v>9</v>
      </c>
    </row>
    <row r="164" spans="1:3" ht="15" customHeight="1" x14ac:dyDescent="0.3">
      <c r="A164" s="17" t="s">
        <v>492</v>
      </c>
      <c r="B164" s="17" t="s">
        <v>328</v>
      </c>
      <c r="C164" s="17">
        <v>3</v>
      </c>
    </row>
    <row r="165" spans="1:3" ht="15" customHeight="1" x14ac:dyDescent="0.3">
      <c r="A165" s="17" t="s">
        <v>493</v>
      </c>
      <c r="B165" s="17" t="s">
        <v>328</v>
      </c>
      <c r="C165" s="17">
        <v>2</v>
      </c>
    </row>
    <row r="166" spans="1:3" ht="15" customHeight="1" x14ac:dyDescent="0.3">
      <c r="A166" s="17" t="s">
        <v>494</v>
      </c>
      <c r="B166" s="17" t="s">
        <v>339</v>
      </c>
      <c r="C166" s="17">
        <v>1</v>
      </c>
    </row>
    <row r="167" spans="1:3" ht="15" customHeight="1" x14ac:dyDescent="0.3">
      <c r="A167" s="17" t="s">
        <v>495</v>
      </c>
      <c r="B167" s="17" t="s">
        <v>328</v>
      </c>
      <c r="C167" s="17">
        <v>4</v>
      </c>
    </row>
    <row r="168" spans="1:3" ht="15" customHeight="1" x14ac:dyDescent="0.3">
      <c r="A168" s="17" t="s">
        <v>496</v>
      </c>
      <c r="B168" s="17" t="s">
        <v>339</v>
      </c>
      <c r="C168" s="17">
        <v>6</v>
      </c>
    </row>
    <row r="169" spans="1:3" ht="15" customHeight="1" x14ac:dyDescent="0.3">
      <c r="A169" s="17" t="s">
        <v>497</v>
      </c>
      <c r="B169" s="17" t="s">
        <v>328</v>
      </c>
      <c r="C169" s="17">
        <v>1</v>
      </c>
    </row>
    <row r="170" spans="1:3" ht="15" customHeight="1" x14ac:dyDescent="0.3">
      <c r="A170" s="17" t="s">
        <v>498</v>
      </c>
      <c r="B170" s="17" t="s">
        <v>328</v>
      </c>
      <c r="C170" s="17">
        <v>4</v>
      </c>
    </row>
    <row r="171" spans="1:3" ht="15" customHeight="1" x14ac:dyDescent="0.3">
      <c r="A171" s="17" t="s">
        <v>499</v>
      </c>
      <c r="B171" s="17" t="s">
        <v>339</v>
      </c>
      <c r="C171" s="17">
        <v>2</v>
      </c>
    </row>
    <row r="172" spans="1:3" ht="15" customHeight="1" x14ac:dyDescent="0.3">
      <c r="A172" s="17" t="s">
        <v>500</v>
      </c>
      <c r="B172" s="17" t="s">
        <v>328</v>
      </c>
      <c r="C172" s="17">
        <v>3</v>
      </c>
    </row>
    <row r="173" spans="1:3" ht="15" customHeight="1" x14ac:dyDescent="0.3">
      <c r="A173" s="17" t="s">
        <v>501</v>
      </c>
      <c r="B173" s="17" t="s">
        <v>331</v>
      </c>
      <c r="C173" s="17">
        <v>5</v>
      </c>
    </row>
    <row r="174" spans="1:3" ht="15" customHeight="1" x14ac:dyDescent="0.3">
      <c r="A174" s="17" t="s">
        <v>502</v>
      </c>
      <c r="B174" s="17" t="s">
        <v>328</v>
      </c>
      <c r="C174" s="17">
        <v>1</v>
      </c>
    </row>
    <row r="175" spans="1:3" ht="15" customHeight="1" x14ac:dyDescent="0.3">
      <c r="A175" s="17" t="s">
        <v>503</v>
      </c>
      <c r="B175" s="17" t="s">
        <v>339</v>
      </c>
      <c r="C175" s="17">
        <v>2</v>
      </c>
    </row>
    <row r="176" spans="1:3" ht="15" customHeight="1" x14ac:dyDescent="0.3">
      <c r="A176" s="17" t="s">
        <v>504</v>
      </c>
      <c r="B176" s="17" t="s">
        <v>339</v>
      </c>
      <c r="C176" s="17">
        <v>4</v>
      </c>
    </row>
    <row r="177" spans="1:3" ht="15" customHeight="1" x14ac:dyDescent="0.3">
      <c r="A177" s="17" t="s">
        <v>505</v>
      </c>
      <c r="B177" s="17" t="s">
        <v>339</v>
      </c>
      <c r="C177" s="17">
        <v>2</v>
      </c>
    </row>
    <row r="178" spans="1:3" ht="15" customHeight="1" x14ac:dyDescent="0.3">
      <c r="A178" s="17" t="s">
        <v>506</v>
      </c>
      <c r="B178" s="17" t="s">
        <v>331</v>
      </c>
      <c r="C178" s="17">
        <v>5</v>
      </c>
    </row>
    <row r="179" spans="1:3" ht="15" customHeight="1" x14ac:dyDescent="0.3">
      <c r="A179" s="17" t="s">
        <v>507</v>
      </c>
      <c r="B179" s="17" t="s">
        <v>328</v>
      </c>
      <c r="C179" s="17">
        <v>4</v>
      </c>
    </row>
    <row r="180" spans="1:3" ht="15" customHeight="1" x14ac:dyDescent="0.3">
      <c r="A180" s="17" t="s">
        <v>508</v>
      </c>
      <c r="B180" s="17" t="s">
        <v>331</v>
      </c>
      <c r="C180" s="17">
        <v>2</v>
      </c>
    </row>
    <row r="181" spans="1:3" ht="15" customHeight="1" x14ac:dyDescent="0.3">
      <c r="A181" s="17" t="s">
        <v>509</v>
      </c>
      <c r="B181" s="17" t="s">
        <v>339</v>
      </c>
      <c r="C181" s="17">
        <v>3</v>
      </c>
    </row>
  </sheetData>
  <autoFilter ref="A1:C18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1"/>
  <sheetViews>
    <sheetView zoomScaleNormal="100" workbookViewId="0">
      <pane ySplit="1" topLeftCell="A2" activePane="bottomLeft" state="frozen"/>
      <selection pane="bottomLeft"/>
    </sheetView>
  </sheetViews>
  <sheetFormatPr defaultColWidth="8.6640625" defaultRowHeight="14.4" x14ac:dyDescent="0.3"/>
  <cols>
    <col min="1" max="2" width="13" style="15" customWidth="1"/>
    <col min="3" max="3" width="14" style="15" customWidth="1"/>
  </cols>
  <sheetData>
    <row r="1" spans="1:3" ht="15" customHeight="1" x14ac:dyDescent="0.3">
      <c r="A1" s="19" t="s">
        <v>510</v>
      </c>
      <c r="B1" s="19" t="s">
        <v>511</v>
      </c>
      <c r="C1" s="19" t="s">
        <v>512</v>
      </c>
    </row>
    <row r="2" spans="1:3" ht="15" customHeight="1" x14ac:dyDescent="0.3">
      <c r="A2" s="17" t="s">
        <v>513</v>
      </c>
      <c r="B2" s="17" t="s">
        <v>514</v>
      </c>
      <c r="C2" s="17">
        <v>14.9</v>
      </c>
    </row>
    <row r="3" spans="1:3" ht="15" customHeight="1" x14ac:dyDescent="0.3">
      <c r="A3" s="17" t="s">
        <v>515</v>
      </c>
      <c r="B3" s="17" t="s">
        <v>514</v>
      </c>
      <c r="C3" s="17">
        <v>13.8</v>
      </c>
    </row>
    <row r="4" spans="1:3" ht="15" customHeight="1" x14ac:dyDescent="0.3">
      <c r="A4" s="17" t="s">
        <v>516</v>
      </c>
      <c r="B4" s="17" t="s">
        <v>514</v>
      </c>
      <c r="C4" s="17">
        <v>15</v>
      </c>
    </row>
    <row r="5" spans="1:3" ht="15" customHeight="1" x14ac:dyDescent="0.3">
      <c r="A5" s="17" t="s">
        <v>517</v>
      </c>
      <c r="B5" s="17" t="s">
        <v>514</v>
      </c>
      <c r="C5" s="17">
        <v>8</v>
      </c>
    </row>
    <row r="6" spans="1:3" ht="15" customHeight="1" x14ac:dyDescent="0.3">
      <c r="A6" s="17" t="s">
        <v>518</v>
      </c>
      <c r="B6" s="17" t="s">
        <v>514</v>
      </c>
      <c r="C6" s="17">
        <v>15.1</v>
      </c>
    </row>
    <row r="7" spans="1:3" ht="15" customHeight="1" x14ac:dyDescent="0.3">
      <c r="A7" s="17" t="s">
        <v>519</v>
      </c>
      <c r="B7" s="17" t="s">
        <v>514</v>
      </c>
      <c r="C7" s="17">
        <v>19.3</v>
      </c>
    </row>
    <row r="8" spans="1:3" ht="15" customHeight="1" x14ac:dyDescent="0.3">
      <c r="A8" s="17" t="s">
        <v>520</v>
      </c>
      <c r="B8" s="17" t="s">
        <v>514</v>
      </c>
      <c r="C8" s="17">
        <v>15.2</v>
      </c>
    </row>
    <row r="9" spans="1:3" ht="15" customHeight="1" x14ac:dyDescent="0.3">
      <c r="A9" s="17" t="s">
        <v>521</v>
      </c>
      <c r="B9" s="17" t="s">
        <v>514</v>
      </c>
      <c r="C9" s="17">
        <v>12.7</v>
      </c>
    </row>
    <row r="10" spans="1:3" ht="15" customHeight="1" x14ac:dyDescent="0.3">
      <c r="A10" s="17" t="s">
        <v>522</v>
      </c>
      <c r="B10" s="17" t="s">
        <v>514</v>
      </c>
      <c r="C10" s="17">
        <v>18</v>
      </c>
    </row>
    <row r="11" spans="1:3" ht="15" customHeight="1" x14ac:dyDescent="0.3">
      <c r="A11" s="17" t="s">
        <v>523</v>
      </c>
      <c r="B11" s="17" t="s">
        <v>514</v>
      </c>
      <c r="C11" s="17">
        <v>15</v>
      </c>
    </row>
    <row r="12" spans="1:3" ht="15" customHeight="1" x14ac:dyDescent="0.3">
      <c r="A12" s="17" t="s">
        <v>524</v>
      </c>
      <c r="B12" s="17" t="s">
        <v>514</v>
      </c>
      <c r="C12" s="17">
        <v>15.2</v>
      </c>
    </row>
    <row r="13" spans="1:3" ht="15" customHeight="1" x14ac:dyDescent="0.3">
      <c r="A13" s="17" t="s">
        <v>525</v>
      </c>
      <c r="B13" s="17" t="s">
        <v>514</v>
      </c>
      <c r="C13" s="17">
        <v>20</v>
      </c>
    </row>
    <row r="14" spans="1:3" ht="15" customHeight="1" x14ac:dyDescent="0.3">
      <c r="A14" s="17" t="s">
        <v>526</v>
      </c>
      <c r="B14" s="17" t="s">
        <v>514</v>
      </c>
      <c r="C14" s="17">
        <v>15.5</v>
      </c>
    </row>
    <row r="15" spans="1:3" ht="15" customHeight="1" x14ac:dyDescent="0.3">
      <c r="A15" s="17" t="s">
        <v>527</v>
      </c>
      <c r="B15" s="17" t="s">
        <v>514</v>
      </c>
      <c r="C15" s="17">
        <v>12.1</v>
      </c>
    </row>
    <row r="16" spans="1:3" ht="15" customHeight="1" x14ac:dyDescent="0.3">
      <c r="A16" s="17" t="s">
        <v>528</v>
      </c>
      <c r="B16" s="17" t="s">
        <v>514</v>
      </c>
      <c r="C16" s="17">
        <v>11.5</v>
      </c>
    </row>
    <row r="17" spans="1:3" ht="15" customHeight="1" x14ac:dyDescent="0.3">
      <c r="A17" s="17" t="s">
        <v>529</v>
      </c>
      <c r="B17" s="17" t="s">
        <v>514</v>
      </c>
      <c r="C17" s="17">
        <v>17.399999999999999</v>
      </c>
    </row>
    <row r="18" spans="1:3" ht="15" customHeight="1" x14ac:dyDescent="0.3">
      <c r="A18" s="17" t="s">
        <v>530</v>
      </c>
      <c r="B18" s="17" t="s">
        <v>514</v>
      </c>
      <c r="C18" s="17">
        <v>9.1999999999999993</v>
      </c>
    </row>
    <row r="19" spans="1:3" ht="15" customHeight="1" x14ac:dyDescent="0.3">
      <c r="A19" s="17" t="s">
        <v>531</v>
      </c>
      <c r="B19" s="17" t="s">
        <v>514</v>
      </c>
      <c r="C19" s="17">
        <v>12.5</v>
      </c>
    </row>
    <row r="20" spans="1:3" ht="15" customHeight="1" x14ac:dyDescent="0.3">
      <c r="A20" s="17" t="s">
        <v>532</v>
      </c>
      <c r="B20" s="17" t="s">
        <v>514</v>
      </c>
      <c r="C20" s="17">
        <v>12</v>
      </c>
    </row>
    <row r="21" spans="1:3" ht="15" customHeight="1" x14ac:dyDescent="0.3">
      <c r="A21" s="17" t="s">
        <v>533</v>
      </c>
      <c r="B21" s="17" t="s">
        <v>514</v>
      </c>
      <c r="C21" s="17">
        <v>17</v>
      </c>
    </row>
    <row r="22" spans="1:3" ht="15" customHeight="1" x14ac:dyDescent="0.3">
      <c r="A22" s="17" t="s">
        <v>534</v>
      </c>
      <c r="B22" s="17" t="s">
        <v>514</v>
      </c>
      <c r="C22" s="17">
        <v>13.4</v>
      </c>
    </row>
    <row r="23" spans="1:3" ht="15" customHeight="1" x14ac:dyDescent="0.3">
      <c r="A23" s="17" t="s">
        <v>535</v>
      </c>
      <c r="B23" s="17" t="s">
        <v>514</v>
      </c>
      <c r="C23" s="17">
        <v>14.6</v>
      </c>
    </row>
    <row r="24" spans="1:3" ht="15" customHeight="1" x14ac:dyDescent="0.3">
      <c r="A24" s="17" t="s">
        <v>536</v>
      </c>
      <c r="B24" s="17" t="s">
        <v>514</v>
      </c>
      <c r="C24" s="17">
        <v>8.4</v>
      </c>
    </row>
    <row r="25" spans="1:3" ht="15" customHeight="1" x14ac:dyDescent="0.3">
      <c r="A25" s="17" t="s">
        <v>537</v>
      </c>
      <c r="B25" s="17" t="s">
        <v>514</v>
      </c>
      <c r="C25" s="17">
        <v>12.5</v>
      </c>
    </row>
    <row r="26" spans="1:3" ht="15" customHeight="1" x14ac:dyDescent="0.3">
      <c r="A26" s="17" t="s">
        <v>538</v>
      </c>
      <c r="B26" s="17" t="s">
        <v>514</v>
      </c>
      <c r="C26" s="17">
        <v>13.9</v>
      </c>
    </row>
    <row r="27" spans="1:3" ht="15" customHeight="1" x14ac:dyDescent="0.3">
      <c r="A27" s="17" t="s">
        <v>539</v>
      </c>
      <c r="B27" s="17" t="s">
        <v>514</v>
      </c>
      <c r="C27" s="17">
        <v>13.9</v>
      </c>
    </row>
    <row r="28" spans="1:3" ht="15" customHeight="1" x14ac:dyDescent="0.3">
      <c r="A28" s="17" t="s">
        <v>540</v>
      </c>
      <c r="B28" s="17" t="s">
        <v>514</v>
      </c>
      <c r="C28" s="17">
        <v>14</v>
      </c>
    </row>
    <row r="29" spans="1:3" ht="15" customHeight="1" x14ac:dyDescent="0.3">
      <c r="A29" s="17" t="s">
        <v>541</v>
      </c>
      <c r="B29" s="17" t="s">
        <v>514</v>
      </c>
      <c r="C29" s="17">
        <v>15.8</v>
      </c>
    </row>
    <row r="30" spans="1:3" ht="15" customHeight="1" x14ac:dyDescent="0.3">
      <c r="A30" s="17" t="s">
        <v>542</v>
      </c>
      <c r="B30" s="17" t="s">
        <v>514</v>
      </c>
      <c r="C30" s="17">
        <v>14.8</v>
      </c>
    </row>
    <row r="31" spans="1:3" ht="15" customHeight="1" x14ac:dyDescent="0.3">
      <c r="A31" s="17" t="s">
        <v>543</v>
      </c>
      <c r="B31" s="17" t="s">
        <v>514</v>
      </c>
      <c r="C31" s="17">
        <v>18</v>
      </c>
    </row>
    <row r="32" spans="1:3" ht="15" customHeight="1" x14ac:dyDescent="0.3">
      <c r="A32" s="17" t="s">
        <v>544</v>
      </c>
      <c r="B32" s="17" t="s">
        <v>514</v>
      </c>
      <c r="C32" s="17">
        <v>12.4</v>
      </c>
    </row>
    <row r="33" spans="1:3" ht="15" customHeight="1" x14ac:dyDescent="0.3">
      <c r="A33" s="17" t="s">
        <v>545</v>
      </c>
      <c r="B33" s="17" t="s">
        <v>514</v>
      </c>
      <c r="C33" s="17">
        <v>13.6</v>
      </c>
    </row>
    <row r="34" spans="1:3" ht="15" customHeight="1" x14ac:dyDescent="0.3">
      <c r="A34" s="17" t="s">
        <v>546</v>
      </c>
      <c r="B34" s="17" t="s">
        <v>514</v>
      </c>
      <c r="C34" s="17">
        <v>12.7</v>
      </c>
    </row>
    <row r="35" spans="1:3" ht="15" customHeight="1" x14ac:dyDescent="0.3">
      <c r="A35" s="17" t="s">
        <v>547</v>
      </c>
      <c r="B35" s="17" t="s">
        <v>514</v>
      </c>
      <c r="C35" s="17">
        <v>18.7</v>
      </c>
    </row>
    <row r="36" spans="1:3" ht="15" customHeight="1" x14ac:dyDescent="0.3">
      <c r="A36" s="17" t="s">
        <v>548</v>
      </c>
      <c r="B36" s="17" t="s">
        <v>514</v>
      </c>
      <c r="C36" s="17">
        <v>17.8</v>
      </c>
    </row>
    <row r="37" spans="1:3" ht="15" customHeight="1" x14ac:dyDescent="0.3">
      <c r="A37" s="17" t="s">
        <v>549</v>
      </c>
      <c r="B37" s="17" t="s">
        <v>514</v>
      </c>
      <c r="C37" s="17">
        <v>10</v>
      </c>
    </row>
    <row r="38" spans="1:3" ht="15" customHeight="1" x14ac:dyDescent="0.3">
      <c r="A38" s="17" t="s">
        <v>550</v>
      </c>
      <c r="B38" s="17" t="s">
        <v>514</v>
      </c>
      <c r="C38" s="17">
        <v>10.199999999999999</v>
      </c>
    </row>
    <row r="39" spans="1:3" ht="15" customHeight="1" x14ac:dyDescent="0.3">
      <c r="A39" s="17" t="s">
        <v>551</v>
      </c>
      <c r="B39" s="17" t="s">
        <v>514</v>
      </c>
      <c r="C39" s="17">
        <v>16.7</v>
      </c>
    </row>
    <row r="40" spans="1:3" ht="15" customHeight="1" x14ac:dyDescent="0.3">
      <c r="A40" s="17" t="s">
        <v>552</v>
      </c>
      <c r="B40" s="17" t="s">
        <v>514</v>
      </c>
      <c r="C40" s="17">
        <v>17.100000000000001</v>
      </c>
    </row>
    <row r="41" spans="1:3" ht="15" customHeight="1" x14ac:dyDescent="0.3">
      <c r="A41" s="17" t="s">
        <v>553</v>
      </c>
      <c r="B41" s="17" t="s">
        <v>514</v>
      </c>
      <c r="C41" s="17">
        <v>15.6</v>
      </c>
    </row>
    <row r="42" spans="1:3" ht="15" customHeight="1" x14ac:dyDescent="0.3">
      <c r="A42" s="17" t="s">
        <v>554</v>
      </c>
      <c r="B42" s="17" t="s">
        <v>514</v>
      </c>
      <c r="C42" s="17">
        <v>9.6</v>
      </c>
    </row>
    <row r="43" spans="1:3" ht="15" customHeight="1" x14ac:dyDescent="0.3">
      <c r="A43" s="17" t="s">
        <v>555</v>
      </c>
      <c r="B43" s="17" t="s">
        <v>514</v>
      </c>
      <c r="C43" s="17">
        <v>12.3</v>
      </c>
    </row>
    <row r="44" spans="1:3" ht="15" customHeight="1" x14ac:dyDescent="0.3">
      <c r="A44" s="17" t="s">
        <v>556</v>
      </c>
      <c r="B44" s="17" t="s">
        <v>514</v>
      </c>
      <c r="C44" s="17">
        <v>12</v>
      </c>
    </row>
    <row r="45" spans="1:3" ht="15" customHeight="1" x14ac:dyDescent="0.3">
      <c r="A45" s="17" t="s">
        <v>557</v>
      </c>
      <c r="B45" s="17" t="s">
        <v>514</v>
      </c>
      <c r="C45" s="17">
        <v>13.2</v>
      </c>
    </row>
    <row r="46" spans="1:3" ht="15" customHeight="1" x14ac:dyDescent="0.3">
      <c r="A46" s="17" t="s">
        <v>558</v>
      </c>
      <c r="B46" s="17" t="s">
        <v>514</v>
      </c>
      <c r="C46" s="17">
        <v>13.5</v>
      </c>
    </row>
    <row r="47" spans="1:3" ht="15" customHeight="1" x14ac:dyDescent="0.3">
      <c r="A47" s="17" t="s">
        <v>559</v>
      </c>
      <c r="B47" s="17" t="s">
        <v>514</v>
      </c>
      <c r="C47" s="17">
        <v>9.1</v>
      </c>
    </row>
    <row r="48" spans="1:3" ht="15" customHeight="1" x14ac:dyDescent="0.3">
      <c r="A48" s="17" t="s">
        <v>560</v>
      </c>
      <c r="B48" s="17" t="s">
        <v>514</v>
      </c>
      <c r="C48" s="17">
        <v>12</v>
      </c>
    </row>
    <row r="49" spans="1:3" ht="15" customHeight="1" x14ac:dyDescent="0.3">
      <c r="A49" s="17" t="s">
        <v>561</v>
      </c>
      <c r="B49" s="17" t="s">
        <v>514</v>
      </c>
      <c r="C49" s="17">
        <v>12.4</v>
      </c>
    </row>
    <row r="50" spans="1:3" ht="15" customHeight="1" x14ac:dyDescent="0.3">
      <c r="A50" s="17" t="s">
        <v>562</v>
      </c>
      <c r="B50" s="17" t="s">
        <v>514</v>
      </c>
      <c r="C50" s="17">
        <v>7.7</v>
      </c>
    </row>
    <row r="51" spans="1:3" ht="15" customHeight="1" x14ac:dyDescent="0.3">
      <c r="A51" s="17" t="s">
        <v>563</v>
      </c>
      <c r="B51" s="17" t="s">
        <v>514</v>
      </c>
      <c r="C51" s="17">
        <v>19</v>
      </c>
    </row>
    <row r="52" spans="1:3" ht="15" customHeight="1" x14ac:dyDescent="0.3">
      <c r="A52" s="17" t="s">
        <v>564</v>
      </c>
      <c r="B52" s="17" t="s">
        <v>514</v>
      </c>
      <c r="C52" s="17">
        <v>19</v>
      </c>
    </row>
    <row r="53" spans="1:3" ht="15" customHeight="1" x14ac:dyDescent="0.3">
      <c r="A53" s="17" t="s">
        <v>565</v>
      </c>
      <c r="B53" s="17" t="s">
        <v>514</v>
      </c>
      <c r="C53" s="17">
        <v>11.5</v>
      </c>
    </row>
    <row r="54" spans="1:3" ht="15" customHeight="1" x14ac:dyDescent="0.3">
      <c r="A54" s="17" t="s">
        <v>566</v>
      </c>
      <c r="B54" s="17" t="s">
        <v>514</v>
      </c>
      <c r="C54" s="17">
        <v>12.4</v>
      </c>
    </row>
    <row r="55" spans="1:3" ht="15" customHeight="1" x14ac:dyDescent="0.3">
      <c r="A55" s="17" t="s">
        <v>567</v>
      </c>
      <c r="B55" s="17" t="s">
        <v>514</v>
      </c>
      <c r="C55" s="17">
        <v>12.5</v>
      </c>
    </row>
    <row r="56" spans="1:3" ht="15" customHeight="1" x14ac:dyDescent="0.3">
      <c r="A56" s="17" t="s">
        <v>568</v>
      </c>
      <c r="B56" s="17" t="s">
        <v>514</v>
      </c>
      <c r="C56" s="17">
        <v>11.7</v>
      </c>
    </row>
    <row r="57" spans="1:3" ht="15" customHeight="1" x14ac:dyDescent="0.3">
      <c r="A57" s="17" t="s">
        <v>569</v>
      </c>
      <c r="B57" s="17" t="s">
        <v>514</v>
      </c>
      <c r="C57" s="17">
        <v>15.7</v>
      </c>
    </row>
    <row r="58" spans="1:3" ht="15" customHeight="1" x14ac:dyDescent="0.3">
      <c r="A58" s="17" t="s">
        <v>570</v>
      </c>
      <c r="B58" s="17" t="s">
        <v>514</v>
      </c>
      <c r="C58" s="17">
        <v>10.7</v>
      </c>
    </row>
    <row r="59" spans="1:3" ht="15" customHeight="1" x14ac:dyDescent="0.3">
      <c r="A59" s="17" t="s">
        <v>571</v>
      </c>
      <c r="B59" s="17" t="s">
        <v>514</v>
      </c>
      <c r="C59" s="17">
        <v>16.8</v>
      </c>
    </row>
    <row r="60" spans="1:3" ht="15" customHeight="1" x14ac:dyDescent="0.3">
      <c r="A60" s="17" t="s">
        <v>572</v>
      </c>
      <c r="B60" s="17" t="s">
        <v>514</v>
      </c>
      <c r="C60" s="17">
        <v>15.9</v>
      </c>
    </row>
    <row r="61" spans="1:3" ht="15" customHeight="1" x14ac:dyDescent="0.3">
      <c r="A61" s="17" t="s">
        <v>573</v>
      </c>
      <c r="B61" s="17" t="s">
        <v>514</v>
      </c>
      <c r="C61" s="17">
        <v>14</v>
      </c>
    </row>
    <row r="62" spans="1:3" ht="15" customHeight="1" x14ac:dyDescent="0.3">
      <c r="A62" s="17" t="s">
        <v>574</v>
      </c>
      <c r="B62" s="17" t="s">
        <v>575</v>
      </c>
      <c r="C62" s="17">
        <v>38.5</v>
      </c>
    </row>
    <row r="63" spans="1:3" ht="15" customHeight="1" x14ac:dyDescent="0.3">
      <c r="A63" s="17" t="s">
        <v>576</v>
      </c>
      <c r="B63" s="17" t="s">
        <v>575</v>
      </c>
      <c r="C63" s="17">
        <v>41</v>
      </c>
    </row>
    <row r="64" spans="1:3" ht="15" customHeight="1" x14ac:dyDescent="0.3">
      <c r="A64" s="17" t="s">
        <v>577</v>
      </c>
      <c r="B64" s="17" t="s">
        <v>575</v>
      </c>
      <c r="C64" s="17">
        <v>22.2</v>
      </c>
    </row>
    <row r="65" spans="1:3" ht="15" customHeight="1" x14ac:dyDescent="0.3">
      <c r="A65" s="17" t="s">
        <v>578</v>
      </c>
      <c r="B65" s="17" t="s">
        <v>575</v>
      </c>
      <c r="C65" s="17">
        <v>10.1</v>
      </c>
    </row>
    <row r="66" spans="1:3" ht="15" customHeight="1" x14ac:dyDescent="0.3">
      <c r="A66" s="17" t="s">
        <v>579</v>
      </c>
      <c r="B66" s="17" t="s">
        <v>575</v>
      </c>
      <c r="C66" s="17">
        <v>19</v>
      </c>
    </row>
    <row r="67" spans="1:3" ht="15" customHeight="1" x14ac:dyDescent="0.3">
      <c r="A67" s="17" t="s">
        <v>580</v>
      </c>
      <c r="B67" s="17" t="s">
        <v>575</v>
      </c>
      <c r="C67" s="17">
        <v>29.1</v>
      </c>
    </row>
    <row r="68" spans="1:3" ht="15" customHeight="1" x14ac:dyDescent="0.3">
      <c r="A68" s="17" t="s">
        <v>581</v>
      </c>
      <c r="B68" s="17" t="s">
        <v>575</v>
      </c>
      <c r="C68" s="17">
        <v>21.3</v>
      </c>
    </row>
    <row r="69" spans="1:3" ht="15" customHeight="1" x14ac:dyDescent="0.3">
      <c r="A69" s="17" t="s">
        <v>582</v>
      </c>
      <c r="B69" s="17" t="s">
        <v>575</v>
      </c>
      <c r="C69" s="17">
        <v>11</v>
      </c>
    </row>
    <row r="70" spans="1:3" ht="15" customHeight="1" x14ac:dyDescent="0.3">
      <c r="A70" s="17" t="s">
        <v>583</v>
      </c>
      <c r="B70" s="17" t="s">
        <v>575</v>
      </c>
      <c r="C70" s="17">
        <v>7.1</v>
      </c>
    </row>
    <row r="71" spans="1:3" ht="15" customHeight="1" x14ac:dyDescent="0.3">
      <c r="A71" s="17" t="s">
        <v>584</v>
      </c>
      <c r="B71" s="17" t="s">
        <v>575</v>
      </c>
      <c r="C71" s="17">
        <v>15.1</v>
      </c>
    </row>
    <row r="72" spans="1:3" ht="15" customHeight="1" x14ac:dyDescent="0.3">
      <c r="A72" s="17" t="s">
        <v>585</v>
      </c>
      <c r="B72" s="17" t="s">
        <v>575</v>
      </c>
      <c r="C72" s="17">
        <v>11</v>
      </c>
    </row>
    <row r="73" spans="1:3" ht="15" customHeight="1" x14ac:dyDescent="0.3">
      <c r="A73" s="17" t="s">
        <v>586</v>
      </c>
      <c r="B73" s="17" t="s">
        <v>575</v>
      </c>
      <c r="C73" s="17">
        <v>9.1999999999999993</v>
      </c>
    </row>
    <row r="74" spans="1:3" ht="15" customHeight="1" x14ac:dyDescent="0.3">
      <c r="A74" s="17" t="s">
        <v>587</v>
      </c>
      <c r="B74" s="17" t="s">
        <v>575</v>
      </c>
      <c r="C74" s="17">
        <v>19.5</v>
      </c>
    </row>
    <row r="75" spans="1:3" ht="15" customHeight="1" x14ac:dyDescent="0.3">
      <c r="A75" s="17" t="s">
        <v>588</v>
      </c>
      <c r="B75" s="17" t="s">
        <v>575</v>
      </c>
      <c r="C75" s="17">
        <v>23.9</v>
      </c>
    </row>
    <row r="76" spans="1:3" ht="15" customHeight="1" x14ac:dyDescent="0.3">
      <c r="A76" s="17" t="s">
        <v>589</v>
      </c>
      <c r="B76" s="17" t="s">
        <v>575</v>
      </c>
      <c r="C76" s="17">
        <v>15.6</v>
      </c>
    </row>
    <row r="77" spans="1:3" ht="15" customHeight="1" x14ac:dyDescent="0.3">
      <c r="A77" s="17" t="s">
        <v>590</v>
      </c>
      <c r="B77" s="17" t="s">
        <v>575</v>
      </c>
      <c r="C77" s="17">
        <v>24.8</v>
      </c>
    </row>
    <row r="78" spans="1:3" ht="15" customHeight="1" x14ac:dyDescent="0.3">
      <c r="A78" s="17" t="s">
        <v>591</v>
      </c>
      <c r="B78" s="17" t="s">
        <v>575</v>
      </c>
      <c r="C78" s="17">
        <v>44.7</v>
      </c>
    </row>
    <row r="79" spans="1:3" ht="15" customHeight="1" x14ac:dyDescent="0.3">
      <c r="A79" s="17" t="s">
        <v>592</v>
      </c>
      <c r="B79" s="17" t="s">
        <v>575</v>
      </c>
      <c r="C79" s="17">
        <v>18.600000000000001</v>
      </c>
    </row>
    <row r="80" spans="1:3" ht="15" customHeight="1" x14ac:dyDescent="0.3">
      <c r="A80" s="17" t="s">
        <v>593</v>
      </c>
      <c r="B80" s="17" t="s">
        <v>575</v>
      </c>
      <c r="C80" s="17">
        <v>13.3</v>
      </c>
    </row>
    <row r="81" spans="1:3" ht="15" customHeight="1" x14ac:dyDescent="0.3">
      <c r="A81" s="17" t="s">
        <v>594</v>
      </c>
      <c r="B81" s="17" t="s">
        <v>575</v>
      </c>
      <c r="C81" s="17">
        <v>11.8</v>
      </c>
    </row>
    <row r="82" spans="1:3" ht="15" customHeight="1" x14ac:dyDescent="0.3">
      <c r="A82" s="17" t="s">
        <v>595</v>
      </c>
      <c r="B82" s="17" t="s">
        <v>575</v>
      </c>
      <c r="C82" s="17">
        <v>10.199999999999999</v>
      </c>
    </row>
    <row r="83" spans="1:3" ht="15" customHeight="1" x14ac:dyDescent="0.3">
      <c r="A83" s="17" t="s">
        <v>596</v>
      </c>
      <c r="B83" s="17" t="s">
        <v>575</v>
      </c>
      <c r="C83" s="17">
        <v>21.8</v>
      </c>
    </row>
    <row r="84" spans="1:3" ht="15" customHeight="1" x14ac:dyDescent="0.3">
      <c r="A84" s="17" t="s">
        <v>597</v>
      </c>
      <c r="B84" s="17" t="s">
        <v>575</v>
      </c>
      <c r="C84" s="17">
        <v>13.6</v>
      </c>
    </row>
    <row r="85" spans="1:3" ht="15" customHeight="1" x14ac:dyDescent="0.3">
      <c r="A85" s="17" t="s">
        <v>598</v>
      </c>
      <c r="B85" s="17" t="s">
        <v>575</v>
      </c>
      <c r="C85" s="17">
        <v>15.4</v>
      </c>
    </row>
    <row r="86" spans="1:3" ht="15" customHeight="1" x14ac:dyDescent="0.3">
      <c r="A86" s="17" t="s">
        <v>599</v>
      </c>
      <c r="B86" s="17" t="s">
        <v>575</v>
      </c>
      <c r="C86" s="17">
        <v>12.6</v>
      </c>
    </row>
    <row r="87" spans="1:3" ht="15" customHeight="1" x14ac:dyDescent="0.3">
      <c r="A87" s="17" t="s">
        <v>600</v>
      </c>
      <c r="B87" s="17" t="s">
        <v>575</v>
      </c>
      <c r="C87" s="17">
        <v>13.7</v>
      </c>
    </row>
    <row r="88" spans="1:3" ht="15" customHeight="1" x14ac:dyDescent="0.3">
      <c r="A88" s="17" t="s">
        <v>601</v>
      </c>
      <c r="B88" s="17" t="s">
        <v>575</v>
      </c>
      <c r="C88" s="17">
        <v>18.7</v>
      </c>
    </row>
    <row r="89" spans="1:3" ht="15" customHeight="1" x14ac:dyDescent="0.3">
      <c r="A89" s="17" t="s">
        <v>602</v>
      </c>
      <c r="B89" s="17" t="s">
        <v>575</v>
      </c>
      <c r="C89" s="17">
        <v>10.3</v>
      </c>
    </row>
    <row r="90" spans="1:3" ht="15" customHeight="1" x14ac:dyDescent="0.3">
      <c r="A90" s="17" t="s">
        <v>603</v>
      </c>
      <c r="B90" s="17" t="s">
        <v>575</v>
      </c>
      <c r="C90" s="17">
        <v>15.2</v>
      </c>
    </row>
    <row r="91" spans="1:3" ht="15" customHeight="1" x14ac:dyDescent="0.3">
      <c r="A91" s="17" t="s">
        <v>604</v>
      </c>
      <c r="B91" s="17" t="s">
        <v>575</v>
      </c>
      <c r="C91" s="17">
        <v>16.5</v>
      </c>
    </row>
    <row r="92" spans="1:3" ht="15" customHeight="1" x14ac:dyDescent="0.3">
      <c r="A92" s="17" t="s">
        <v>605</v>
      </c>
      <c r="B92" s="17" t="s">
        <v>575</v>
      </c>
      <c r="C92" s="17">
        <v>10.7</v>
      </c>
    </row>
    <row r="93" spans="1:3" ht="15" customHeight="1" x14ac:dyDescent="0.3">
      <c r="A93" s="17" t="s">
        <v>606</v>
      </c>
      <c r="B93" s="17" t="s">
        <v>575</v>
      </c>
      <c r="C93" s="17">
        <v>26.3</v>
      </c>
    </row>
    <row r="94" spans="1:3" ht="15" customHeight="1" x14ac:dyDescent="0.3">
      <c r="A94" s="17" t="s">
        <v>607</v>
      </c>
      <c r="B94" s="17" t="s">
        <v>575</v>
      </c>
      <c r="C94" s="17">
        <v>18.100000000000001</v>
      </c>
    </row>
    <row r="95" spans="1:3" ht="15" customHeight="1" x14ac:dyDescent="0.3">
      <c r="A95" s="17" t="s">
        <v>608</v>
      </c>
      <c r="B95" s="17" t="s">
        <v>575</v>
      </c>
      <c r="C95" s="17">
        <v>19.8</v>
      </c>
    </row>
    <row r="96" spans="1:3" ht="15" customHeight="1" x14ac:dyDescent="0.3">
      <c r="A96" s="17" t="s">
        <v>609</v>
      </c>
      <c r="B96" s="17" t="s">
        <v>575</v>
      </c>
      <c r="C96" s="17">
        <v>9.9</v>
      </c>
    </row>
    <row r="97" spans="1:3" ht="15" customHeight="1" x14ac:dyDescent="0.3">
      <c r="A97" s="17" t="s">
        <v>610</v>
      </c>
      <c r="B97" s="17" t="s">
        <v>575</v>
      </c>
      <c r="C97" s="17">
        <v>12.2</v>
      </c>
    </row>
    <row r="98" spans="1:3" ht="15" customHeight="1" x14ac:dyDescent="0.3">
      <c r="A98" s="17" t="s">
        <v>611</v>
      </c>
      <c r="B98" s="17" t="s">
        <v>575</v>
      </c>
      <c r="C98" s="17">
        <v>12.6</v>
      </c>
    </row>
    <row r="99" spans="1:3" ht="15" customHeight="1" x14ac:dyDescent="0.3">
      <c r="A99" s="17" t="s">
        <v>612</v>
      </c>
      <c r="B99" s="17" t="s">
        <v>575</v>
      </c>
      <c r="C99" s="17">
        <v>16.5</v>
      </c>
    </row>
    <row r="100" spans="1:3" ht="15" customHeight="1" x14ac:dyDescent="0.3">
      <c r="A100" s="17" t="s">
        <v>613</v>
      </c>
      <c r="B100" s="17" t="s">
        <v>575</v>
      </c>
      <c r="C100" s="17">
        <v>10.1</v>
      </c>
    </row>
    <row r="101" spans="1:3" ht="15" customHeight="1" x14ac:dyDescent="0.3">
      <c r="A101" s="17" t="s">
        <v>614</v>
      </c>
      <c r="B101" s="17" t="s">
        <v>575</v>
      </c>
      <c r="C101" s="17">
        <v>23.5</v>
      </c>
    </row>
    <row r="102" spans="1:3" ht="15" customHeight="1" x14ac:dyDescent="0.3">
      <c r="A102" s="17" t="s">
        <v>615</v>
      </c>
      <c r="B102" s="17" t="s">
        <v>575</v>
      </c>
      <c r="C102" s="17">
        <v>19.600000000000001</v>
      </c>
    </row>
    <row r="103" spans="1:3" ht="15" customHeight="1" x14ac:dyDescent="0.3">
      <c r="A103" s="17" t="s">
        <v>616</v>
      </c>
      <c r="B103" s="17" t="s">
        <v>575</v>
      </c>
      <c r="C103" s="17">
        <v>14.6</v>
      </c>
    </row>
    <row r="104" spans="1:3" ht="15" customHeight="1" x14ac:dyDescent="0.3">
      <c r="A104" s="17" t="s">
        <v>617</v>
      </c>
      <c r="B104" s="17" t="s">
        <v>575</v>
      </c>
      <c r="C104" s="17">
        <v>17</v>
      </c>
    </row>
    <row r="105" spans="1:3" ht="15" customHeight="1" x14ac:dyDescent="0.3">
      <c r="A105" s="17" t="s">
        <v>618</v>
      </c>
      <c r="B105" s="17" t="s">
        <v>575</v>
      </c>
      <c r="C105" s="17">
        <v>7.7</v>
      </c>
    </row>
    <row r="106" spans="1:3" ht="15" customHeight="1" x14ac:dyDescent="0.3">
      <c r="A106" s="17" t="s">
        <v>619</v>
      </c>
      <c r="B106" s="17" t="s">
        <v>575</v>
      </c>
      <c r="C106" s="17">
        <v>13.6</v>
      </c>
    </row>
    <row r="107" spans="1:3" ht="15" customHeight="1" x14ac:dyDescent="0.3">
      <c r="A107" s="17" t="s">
        <v>620</v>
      </c>
      <c r="B107" s="17" t="s">
        <v>575</v>
      </c>
      <c r="C107" s="17">
        <v>13.4</v>
      </c>
    </row>
    <row r="108" spans="1:3" ht="15" customHeight="1" x14ac:dyDescent="0.3">
      <c r="A108" s="17" t="s">
        <v>621</v>
      </c>
      <c r="B108" s="17" t="s">
        <v>575</v>
      </c>
      <c r="C108" s="17">
        <v>10.7</v>
      </c>
    </row>
    <row r="109" spans="1:3" ht="15" customHeight="1" x14ac:dyDescent="0.3">
      <c r="A109" s="17" t="s">
        <v>622</v>
      </c>
      <c r="B109" s="17" t="s">
        <v>575</v>
      </c>
      <c r="C109" s="17">
        <v>12.4</v>
      </c>
    </row>
    <row r="110" spans="1:3" ht="15" customHeight="1" x14ac:dyDescent="0.3">
      <c r="A110" s="17" t="s">
        <v>623</v>
      </c>
      <c r="B110" s="17" t="s">
        <v>575</v>
      </c>
      <c r="C110" s="17">
        <v>11.4</v>
      </c>
    </row>
    <row r="111" spans="1:3" ht="15" customHeight="1" x14ac:dyDescent="0.3">
      <c r="A111" s="17" t="s">
        <v>624</v>
      </c>
      <c r="B111" s="17" t="s">
        <v>575</v>
      </c>
      <c r="C111" s="17">
        <v>20</v>
      </c>
    </row>
    <row r="112" spans="1:3" ht="15" customHeight="1" x14ac:dyDescent="0.3">
      <c r="A112" s="17" t="s">
        <v>625</v>
      </c>
      <c r="B112" s="17" t="s">
        <v>575</v>
      </c>
      <c r="C112" s="17">
        <v>19.8</v>
      </c>
    </row>
    <row r="113" spans="1:3" ht="15" customHeight="1" x14ac:dyDescent="0.3">
      <c r="A113" s="17" t="s">
        <v>626</v>
      </c>
      <c r="B113" s="17" t="s">
        <v>575</v>
      </c>
      <c r="C113" s="17">
        <v>15</v>
      </c>
    </row>
    <row r="114" spans="1:3" ht="15" customHeight="1" x14ac:dyDescent="0.3">
      <c r="A114" s="17" t="s">
        <v>627</v>
      </c>
      <c r="B114" s="17" t="s">
        <v>575</v>
      </c>
      <c r="C114" s="17">
        <v>17</v>
      </c>
    </row>
    <row r="115" spans="1:3" ht="15" customHeight="1" x14ac:dyDescent="0.3">
      <c r="A115" s="17" t="s">
        <v>628</v>
      </c>
      <c r="B115" s="17" t="s">
        <v>575</v>
      </c>
      <c r="C115" s="17">
        <v>14.9</v>
      </c>
    </row>
    <row r="116" spans="1:3" ht="15" customHeight="1" x14ac:dyDescent="0.3">
      <c r="A116" s="17" t="s">
        <v>629</v>
      </c>
      <c r="B116" s="17" t="s">
        <v>575</v>
      </c>
      <c r="C116" s="17">
        <v>22.3</v>
      </c>
    </row>
    <row r="117" spans="1:3" ht="15" customHeight="1" x14ac:dyDescent="0.3">
      <c r="A117" s="17" t="s">
        <v>630</v>
      </c>
      <c r="B117" s="17" t="s">
        <v>575</v>
      </c>
      <c r="C117" s="17">
        <v>17.2</v>
      </c>
    </row>
    <row r="118" spans="1:3" ht="15" customHeight="1" x14ac:dyDescent="0.3">
      <c r="A118" s="17" t="s">
        <v>631</v>
      </c>
      <c r="B118" s="17" t="s">
        <v>575</v>
      </c>
      <c r="C118" s="17">
        <v>11.2</v>
      </c>
    </row>
    <row r="119" spans="1:3" ht="15" customHeight="1" x14ac:dyDescent="0.3">
      <c r="A119" s="17" t="s">
        <v>632</v>
      </c>
      <c r="B119" s="17" t="s">
        <v>575</v>
      </c>
      <c r="C119" s="17">
        <v>28.1</v>
      </c>
    </row>
    <row r="120" spans="1:3" ht="15" customHeight="1" x14ac:dyDescent="0.3">
      <c r="A120" s="17" t="s">
        <v>633</v>
      </c>
      <c r="B120" s="17" t="s">
        <v>575</v>
      </c>
      <c r="C120" s="17">
        <v>28.7</v>
      </c>
    </row>
    <row r="121" spans="1:3" ht="15" customHeight="1" x14ac:dyDescent="0.3">
      <c r="A121" s="17" t="s">
        <v>634</v>
      </c>
      <c r="B121" s="17" t="s">
        <v>575</v>
      </c>
      <c r="C121" s="17">
        <v>11.7</v>
      </c>
    </row>
  </sheetData>
  <autoFilter ref="A1:C12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zoomScaleNormal="100" workbookViewId="0">
      <pane ySplit="1" topLeftCell="A2" activePane="bottomLeft" state="frozen"/>
      <selection pane="bottomLeft"/>
    </sheetView>
  </sheetViews>
  <sheetFormatPr defaultColWidth="8.6640625" defaultRowHeight="14.4" x14ac:dyDescent="0.3"/>
  <cols>
    <col min="1" max="1" width="13" style="15" customWidth="1"/>
    <col min="2" max="2" width="22" style="15" customWidth="1"/>
    <col min="3" max="3" width="42" style="15" customWidth="1"/>
    <col min="4" max="4" width="28" style="15" customWidth="1"/>
  </cols>
  <sheetData>
    <row r="1" spans="1:4" ht="15" customHeight="1" x14ac:dyDescent="0.3">
      <c r="A1" s="20" t="s">
        <v>635</v>
      </c>
      <c r="B1" s="20" t="s">
        <v>636</v>
      </c>
      <c r="C1" s="20" t="s">
        <v>637</v>
      </c>
      <c r="D1" s="20" t="s">
        <v>638</v>
      </c>
    </row>
    <row r="2" spans="1:4" ht="15" customHeight="1" x14ac:dyDescent="0.3">
      <c r="A2" s="21" t="s">
        <v>639</v>
      </c>
      <c r="B2" s="21" t="s">
        <v>13</v>
      </c>
      <c r="C2" s="21" t="s">
        <v>640</v>
      </c>
      <c r="D2" s="21" t="s">
        <v>641</v>
      </c>
    </row>
    <row r="3" spans="1:4" ht="15" customHeight="1" x14ac:dyDescent="0.3">
      <c r="A3" s="21" t="s">
        <v>639</v>
      </c>
      <c r="B3" s="21" t="s">
        <v>14</v>
      </c>
      <c r="C3" s="21" t="s">
        <v>642</v>
      </c>
      <c r="D3" s="21" t="s">
        <v>643</v>
      </c>
    </row>
    <row r="4" spans="1:4" ht="15" customHeight="1" x14ac:dyDescent="0.3">
      <c r="A4" s="21" t="s">
        <v>639</v>
      </c>
      <c r="B4" s="21" t="s">
        <v>15</v>
      </c>
      <c r="C4" s="21" t="s">
        <v>644</v>
      </c>
      <c r="D4" s="21" t="s">
        <v>645</v>
      </c>
    </row>
    <row r="5" spans="1:4" ht="15" customHeight="1" x14ac:dyDescent="0.3">
      <c r="A5" s="21" t="s">
        <v>639</v>
      </c>
      <c r="B5" s="21" t="s">
        <v>16</v>
      </c>
      <c r="C5" s="21" t="s">
        <v>646</v>
      </c>
      <c r="D5" s="21" t="s">
        <v>647</v>
      </c>
    </row>
    <row r="6" spans="1:4" ht="15" customHeight="1" x14ac:dyDescent="0.3">
      <c r="A6" s="21" t="s">
        <v>639</v>
      </c>
      <c r="B6" s="21" t="s">
        <v>17</v>
      </c>
      <c r="C6" s="21" t="s">
        <v>648</v>
      </c>
      <c r="D6" s="21" t="s">
        <v>649</v>
      </c>
    </row>
    <row r="7" spans="1:4" ht="15" customHeight="1" x14ac:dyDescent="0.3">
      <c r="A7" s="21" t="s">
        <v>639</v>
      </c>
      <c r="B7" s="21" t="s">
        <v>18</v>
      </c>
      <c r="C7" s="21" t="s">
        <v>650</v>
      </c>
      <c r="D7" s="21" t="s">
        <v>651</v>
      </c>
    </row>
    <row r="8" spans="1:4" ht="15" customHeight="1" x14ac:dyDescent="0.3">
      <c r="A8" s="21" t="s">
        <v>639</v>
      </c>
      <c r="B8" s="21" t="s">
        <v>19</v>
      </c>
      <c r="C8" s="21" t="s">
        <v>652</v>
      </c>
      <c r="D8" s="21" t="s">
        <v>653</v>
      </c>
    </row>
    <row r="9" spans="1:4" ht="15" customHeight="1" x14ac:dyDescent="0.3">
      <c r="A9" s="21" t="s">
        <v>654</v>
      </c>
      <c r="B9" s="21" t="s">
        <v>324</v>
      </c>
      <c r="C9" s="21" t="s">
        <v>655</v>
      </c>
      <c r="D9" s="21" t="s">
        <v>656</v>
      </c>
    </row>
    <row r="10" spans="1:4" ht="15" customHeight="1" x14ac:dyDescent="0.3">
      <c r="A10" s="21" t="s">
        <v>654</v>
      </c>
      <c r="B10" s="21" t="s">
        <v>325</v>
      </c>
      <c r="C10" s="21" t="s">
        <v>657</v>
      </c>
      <c r="D10" s="21" t="s">
        <v>658</v>
      </c>
    </row>
    <row r="11" spans="1:4" ht="15" customHeight="1" x14ac:dyDescent="0.3">
      <c r="A11" s="21" t="s">
        <v>654</v>
      </c>
      <c r="B11" s="21" t="s">
        <v>326</v>
      </c>
      <c r="C11" s="21" t="s">
        <v>659</v>
      </c>
      <c r="D11" s="21" t="s">
        <v>660</v>
      </c>
    </row>
    <row r="12" spans="1:4" ht="15" customHeight="1" x14ac:dyDescent="0.3">
      <c r="A12" s="21" t="s">
        <v>661</v>
      </c>
      <c r="B12" s="21" t="s">
        <v>510</v>
      </c>
      <c r="C12" s="21" t="s">
        <v>662</v>
      </c>
      <c r="D12" s="21" t="s">
        <v>663</v>
      </c>
    </row>
    <row r="13" spans="1:4" ht="15" customHeight="1" x14ac:dyDescent="0.3">
      <c r="A13" s="21" t="s">
        <v>661</v>
      </c>
      <c r="B13" s="21" t="s">
        <v>511</v>
      </c>
      <c r="C13" s="21" t="s">
        <v>664</v>
      </c>
      <c r="D13" s="21" t="s">
        <v>665</v>
      </c>
    </row>
    <row r="14" spans="1:4" ht="15" customHeight="1" x14ac:dyDescent="0.3">
      <c r="A14" s="21" t="s">
        <v>661</v>
      </c>
      <c r="B14" s="21" t="s">
        <v>512</v>
      </c>
      <c r="C14" s="21" t="s">
        <v>666</v>
      </c>
      <c r="D14" s="21" t="s">
        <v>667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topLeftCell="A20" zoomScaleNormal="100" workbookViewId="0">
      <selection activeCell="E36" sqref="E36"/>
    </sheetView>
  </sheetViews>
  <sheetFormatPr defaultColWidth="8.6640625" defaultRowHeight="14.4" x14ac:dyDescent="0.3"/>
  <cols>
    <col min="1" max="1" width="26" style="15" customWidth="1"/>
    <col min="2" max="2" width="10" style="15" customWidth="1"/>
    <col min="3" max="3" width="14" style="15" customWidth="1"/>
    <col min="4" max="4" width="16" style="15" customWidth="1"/>
    <col min="5" max="6" width="12" style="15" customWidth="1"/>
    <col min="7" max="7" width="14" style="15" customWidth="1"/>
  </cols>
  <sheetData>
    <row r="1" spans="1:8" ht="24" customHeight="1" x14ac:dyDescent="0.3">
      <c r="A1" s="14" t="s">
        <v>668</v>
      </c>
      <c r="B1" s="14"/>
      <c r="C1" s="14"/>
      <c r="D1" s="14"/>
      <c r="E1" s="14"/>
      <c r="F1" s="14"/>
      <c r="G1" s="14"/>
      <c r="H1" s="14"/>
    </row>
    <row r="2" spans="1:8" ht="14.25" customHeight="1" x14ac:dyDescent="0.3"/>
    <row r="3" spans="1:8" ht="15.75" customHeight="1" x14ac:dyDescent="0.3">
      <c r="A3" s="22" t="s">
        <v>669</v>
      </c>
    </row>
    <row r="4" spans="1:8" ht="38.25" customHeight="1" x14ac:dyDescent="0.3">
      <c r="A4" s="23" t="s">
        <v>670</v>
      </c>
      <c r="B4" s="23" t="s">
        <v>671</v>
      </c>
      <c r="C4" s="23" t="s">
        <v>672</v>
      </c>
      <c r="D4" s="23" t="s">
        <v>673</v>
      </c>
      <c r="E4" s="23" t="s">
        <v>674</v>
      </c>
      <c r="F4" s="23" t="s">
        <v>675</v>
      </c>
      <c r="G4" s="23" t="s">
        <v>676</v>
      </c>
    </row>
    <row r="5" spans="1:8" ht="15" customHeight="1" x14ac:dyDescent="0.3">
      <c r="A5" s="24" t="s">
        <v>21</v>
      </c>
      <c r="B5" s="24">
        <f>COUNTIF(graduates!$B$2:$B$301,$A5)</f>
        <v>95</v>
      </c>
      <c r="C5" s="24">
        <f>AVERAGEIF(graduates!$B$2:$B$301,$A5,graduates!$C$2:$C$301)</f>
        <v>77.667368421052629</v>
      </c>
      <c r="D5" s="24">
        <f>SQRT(SUMPRODUCT((graduates!$B$2:$B$301=$A5)*(graduates!$C$2:$C$301-C5)^2)/(B5-1))</f>
        <v>5.8158521833125265</v>
      </c>
      <c r="E5" s="24">
        <f>$D5/$C5*100</f>
        <v>7.4881540363044845</v>
      </c>
      <c r="F5" s="24">
        <f>RANK($D5,$D$5:$D$8)</f>
        <v>3</v>
      </c>
      <c r="G5" s="24">
        <f>RANK($E5,$E$5:$E$8)</f>
        <v>3</v>
      </c>
    </row>
    <row r="6" spans="1:8" ht="15" customHeight="1" x14ac:dyDescent="0.3">
      <c r="A6" s="24" t="s">
        <v>117</v>
      </c>
      <c r="B6" s="24">
        <f>COUNTIF(graduates!$B$2:$B$301,$A6)</f>
        <v>88</v>
      </c>
      <c r="C6" s="24">
        <f>AVERAGEIF(graduates!$B$2:$B$301,$A6,graduates!$C$2:$C$301)</f>
        <v>72.118181818181824</v>
      </c>
      <c r="D6" s="24">
        <f>SQRT(SUMPRODUCT((graduates!$B$2:$B$301=$A6)*(graduates!$C$2:$C$301-C6)^2)/(B6-1))</f>
        <v>8.6421520501849649</v>
      </c>
      <c r="E6" s="24">
        <f>$D6/$C6*100</f>
        <v>11.983319368717334</v>
      </c>
      <c r="F6" s="24">
        <f>RANK($D6,$D$5:$D$8)</f>
        <v>2</v>
      </c>
      <c r="G6" s="24">
        <f>RANK($E6,$E$5:$E$8)</f>
        <v>2</v>
      </c>
    </row>
    <row r="7" spans="1:8" ht="15" customHeight="1" x14ac:dyDescent="0.3">
      <c r="A7" s="24" t="s">
        <v>206</v>
      </c>
      <c r="B7" s="24">
        <f>COUNTIF(graduates!$B$2:$B$301,$A7)</f>
        <v>62</v>
      </c>
      <c r="C7" s="24">
        <f>AVERAGEIF(graduates!$B$2:$B$301,$A7,graduates!$C$2:$C$301)</f>
        <v>75.150000000000006</v>
      </c>
      <c r="D7" s="24">
        <f>SQRT(SUMPRODUCT((graduates!$B$2:$B$301=$A7)*(graduates!$C$2:$C$301-C7)^2)/(B7-1))</f>
        <v>4.1123066001662014</v>
      </c>
      <c r="E7" s="24">
        <f>$D7/$C7*100</f>
        <v>5.4721312044793091</v>
      </c>
      <c r="F7" s="24">
        <f>RANK($D7,$D$5:$D$8)</f>
        <v>4</v>
      </c>
      <c r="G7" s="24">
        <f>RANK($E7,$E$5:$E$8)</f>
        <v>4</v>
      </c>
    </row>
    <row r="8" spans="1:8" ht="15" customHeight="1" x14ac:dyDescent="0.3">
      <c r="A8" s="24" t="s">
        <v>269</v>
      </c>
      <c r="B8" s="24">
        <f>COUNTIF(graduates!$B$2:$B$301,$A8)</f>
        <v>55</v>
      </c>
      <c r="C8" s="24">
        <f>AVERAGEIF(graduates!$B$2:$B$301,$A8,graduates!$C$2:$C$301)</f>
        <v>71.350909090909084</v>
      </c>
      <c r="D8" s="24">
        <f>SQRT(SUMPRODUCT((graduates!$B$2:$B$301=$A8)*(graduates!$C$2:$C$301-C8)^2)/(B8-1))</f>
        <v>11.27685063612001</v>
      </c>
      <c r="E8" s="24">
        <f>$D8/$C8*100</f>
        <v>15.804774991376821</v>
      </c>
      <c r="F8" s="24">
        <f>RANK($D8,$D$5:$D$8)</f>
        <v>1</v>
      </c>
      <c r="G8" s="24">
        <f>RANK($E8,$E$5:$E$8)</f>
        <v>1</v>
      </c>
    </row>
    <row r="9" spans="1:8" ht="15" customHeight="1" x14ac:dyDescent="0.3">
      <c r="A9" s="13" t="s">
        <v>677</v>
      </c>
      <c r="B9" s="13"/>
      <c r="C9" s="13"/>
      <c r="D9" s="13"/>
      <c r="E9" s="25">
        <f>MAX($E$5:$E$8)/MIN($E$5:$E$8)</f>
        <v>2.8882302709480987</v>
      </c>
    </row>
    <row r="10" spans="1:8" ht="84.75" customHeight="1" x14ac:dyDescent="0.3">
      <c r="A10" s="12" t="s">
        <v>678</v>
      </c>
      <c r="B10" s="12"/>
      <c r="C10" s="12"/>
      <c r="D10" s="12"/>
      <c r="E10" s="12"/>
      <c r="F10" s="12"/>
      <c r="G10" s="12"/>
      <c r="H10" s="12"/>
    </row>
    <row r="11" spans="1:8" ht="14.25" customHeight="1" x14ac:dyDescent="0.3"/>
    <row r="12" spans="1:8" ht="15.75" customHeight="1" x14ac:dyDescent="0.3">
      <c r="A12" s="22" t="s">
        <v>679</v>
      </c>
    </row>
    <row r="13" spans="1:8" ht="25.5" customHeight="1" x14ac:dyDescent="0.3">
      <c r="A13" s="23" t="s">
        <v>680</v>
      </c>
      <c r="B13" s="23" t="s">
        <v>681</v>
      </c>
      <c r="C13" s="23" t="s">
        <v>682</v>
      </c>
      <c r="D13" s="23" t="s">
        <v>683</v>
      </c>
    </row>
    <row r="14" spans="1:8" ht="15" customHeight="1" x14ac:dyDescent="0.3">
      <c r="A14" s="24" t="s">
        <v>684</v>
      </c>
      <c r="B14" s="24">
        <f>AVERAGE(graduates!$C$2:$C$301)</f>
        <v>74.361333333333334</v>
      </c>
      <c r="C14" s="24">
        <f>STDEV(graduates!$C$2:$C$301)</f>
        <v>8.0951638121808251</v>
      </c>
      <c r="D14" s="24">
        <f>C14/B14*100</f>
        <v>10.886254252453101</v>
      </c>
    </row>
    <row r="15" spans="1:8" ht="15" customHeight="1" x14ac:dyDescent="0.3">
      <c r="A15" s="24" t="s">
        <v>685</v>
      </c>
      <c r="B15" s="24">
        <f>AVERAGE(graduates!$D$2:$D$301)</f>
        <v>15.594999999999988</v>
      </c>
      <c r="C15" s="24">
        <f>STDEV(graduates!$D$2:$D$301)</f>
        <v>5.9855127496526546</v>
      </c>
      <c r="D15" s="24">
        <f>C15/B15*100</f>
        <v>38.380973066063859</v>
      </c>
    </row>
    <row r="16" spans="1:8" ht="39.75" customHeight="1" x14ac:dyDescent="0.3">
      <c r="A16" s="12" t="s">
        <v>686</v>
      </c>
      <c r="B16" s="12"/>
      <c r="C16" s="12"/>
      <c r="D16" s="12"/>
      <c r="E16" s="12"/>
      <c r="F16" s="12"/>
      <c r="G16" s="12"/>
      <c r="H16" s="12"/>
    </row>
    <row r="17" spans="1:8" ht="14.25" customHeight="1" x14ac:dyDescent="0.3"/>
    <row r="18" spans="1:8" ht="15.75" customHeight="1" x14ac:dyDescent="0.3">
      <c r="A18" s="22" t="s">
        <v>687</v>
      </c>
    </row>
    <row r="19" spans="1:8" ht="25.5" customHeight="1" x14ac:dyDescent="0.3">
      <c r="A19" s="23" t="s">
        <v>670</v>
      </c>
      <c r="B19" s="23" t="s">
        <v>671</v>
      </c>
      <c r="C19" s="23" t="s">
        <v>688</v>
      </c>
      <c r="D19" s="23" t="s">
        <v>689</v>
      </c>
      <c r="E19" s="23" t="s">
        <v>690</v>
      </c>
      <c r="F19" s="23" t="s">
        <v>691</v>
      </c>
      <c r="G19" s="23" t="s">
        <v>692</v>
      </c>
    </row>
    <row r="20" spans="1:8" ht="15" customHeight="1" x14ac:dyDescent="0.3">
      <c r="A20" s="24" t="s">
        <v>21</v>
      </c>
      <c r="B20" s="24">
        <f>COUNTIF(graduates!$B$2:$B$301,$A20)</f>
        <v>95</v>
      </c>
      <c r="C20" s="24">
        <f>AVERAGEIF(graduates!$B$2:$B$301,$A20,graduates!$D$2:$D$301)</f>
        <v>17.953684210526315</v>
      </c>
      <c r="D20" s="24"/>
      <c r="E20" s="24" t="str">
        <f>IF(C20&gt;D20,"YES","no")</f>
        <v>YES</v>
      </c>
      <c r="F20" s="24">
        <f>SQRT(SUMPRODUCT((graduates!$B$2:$B$301=$A20)*(graduates!$D$2:$D$301-C20)^2)/(B20-1))</f>
        <v>6.9162591433168563</v>
      </c>
      <c r="G20" s="24">
        <f>$F20/$C20*100</f>
        <v>38.522784862517668</v>
      </c>
    </row>
    <row r="21" spans="1:8" ht="15" customHeight="1" x14ac:dyDescent="0.3">
      <c r="A21" s="24" t="s">
        <v>117</v>
      </c>
      <c r="B21" s="24">
        <f>COUNTIF(graduates!$B$2:$B$301,$A21)</f>
        <v>88</v>
      </c>
      <c r="C21" s="24">
        <f>AVERAGEIF(graduates!$B$2:$B$301,$A21,graduates!$D$2:$D$301)</f>
        <v>14.009090909090906</v>
      </c>
      <c r="D21" s="24"/>
      <c r="E21" s="24" t="str">
        <f>IF(C21&gt;D21,"YES","no")</f>
        <v>YES</v>
      </c>
      <c r="F21" s="24">
        <f>SQRT(SUMPRODUCT((graduates!$B$2:$B$301=$A21)*(graduates!$D$2:$D$301-C21)^2)/(B21-1))</f>
        <v>4.7845689788610652</v>
      </c>
      <c r="G21" s="24">
        <f>$F21/$C21*100</f>
        <v>34.15331522872922</v>
      </c>
    </row>
    <row r="22" spans="1:8" ht="15" customHeight="1" x14ac:dyDescent="0.3">
      <c r="A22" s="24" t="s">
        <v>206</v>
      </c>
      <c r="B22" s="24">
        <f>COUNTIF(graduates!$B$2:$B$301,$A22)</f>
        <v>62</v>
      </c>
      <c r="C22" s="24">
        <f>AVERAGEIF(graduates!$B$2:$B$301,$A22,graduates!$D$2:$D$301)</f>
        <v>16.491935483870961</v>
      </c>
      <c r="D22" s="24"/>
      <c r="E22" s="24" t="str">
        <f>IF(C22&gt;D22,"YES","no")</f>
        <v>YES</v>
      </c>
      <c r="F22" s="24">
        <f>SQRT(SUMPRODUCT((graduates!$B$2:$B$301=$A22)*(graduates!$D$2:$D$301-C22)^2)/(B22-1))</f>
        <v>5.7590783184235868</v>
      </c>
      <c r="G22" s="24">
        <f>$F22/$C22*100</f>
        <v>34.920572688729834</v>
      </c>
    </row>
    <row r="23" spans="1:8" ht="15" customHeight="1" x14ac:dyDescent="0.3">
      <c r="A23" s="24" t="s">
        <v>269</v>
      </c>
      <c r="B23" s="24">
        <f>COUNTIF(graduates!$B$2:$B$301,$A23)</f>
        <v>55</v>
      </c>
      <c r="C23" s="24">
        <f>AVERAGEIF(graduates!$B$2:$B$301,$A23,graduates!$D$2:$D$301)</f>
        <v>13.047272727272725</v>
      </c>
      <c r="D23" s="24"/>
      <c r="E23" s="24" t="str">
        <f>IF(C23&gt;D23,"YES","no")</f>
        <v>YES</v>
      </c>
      <c r="F23" s="24">
        <f>SQRT(SUMPRODUCT((graduates!$B$2:$B$301=$A23)*(graduates!$D$2:$D$301-C23)^2)/(B23-1))</f>
        <v>4.3971731047493812</v>
      </c>
      <c r="G23" s="24">
        <f>$F23/$C23*100</f>
        <v>33.701856293369012</v>
      </c>
    </row>
    <row r="24" spans="1:8" ht="15" customHeight="1" x14ac:dyDescent="0.3">
      <c r="A24" s="26" t="s">
        <v>693</v>
      </c>
      <c r="B24" s="26">
        <f>COUNT(graduates!$D$2:$D$301)</f>
        <v>300</v>
      </c>
      <c r="C24" s="26">
        <f>AVERAGE(graduates!$D$2:$D$301)</f>
        <v>15.594999999999988</v>
      </c>
      <c r="D24" s="26">
        <f>MEDIAN(graduates!$D$2:$D$301)</f>
        <v>14.9</v>
      </c>
      <c r="E24" s="26" t="str">
        <f>IF(C24&gt;D24,"YES","no")</f>
        <v>YES</v>
      </c>
      <c r="F24" s="26">
        <f>STDEV(graduates!$D$2:$D$301)</f>
        <v>5.9855127496526546</v>
      </c>
      <c r="G24" s="26">
        <f>F24/C24*100</f>
        <v>38.380973066063859</v>
      </c>
    </row>
    <row r="25" spans="1:8" ht="84.75" customHeight="1" x14ac:dyDescent="0.3">
      <c r="A25" s="12" t="s">
        <v>694</v>
      </c>
      <c r="B25" s="12"/>
      <c r="C25" s="12"/>
      <c r="D25" s="12"/>
      <c r="E25" s="12"/>
      <c r="F25" s="12"/>
      <c r="G25" s="12"/>
      <c r="H25" s="12"/>
    </row>
  </sheetData>
  <mergeCells count="5">
    <mergeCell ref="A1:H1"/>
    <mergeCell ref="A9:D9"/>
    <mergeCell ref="A10:H10"/>
    <mergeCell ref="A16:H16"/>
    <mergeCell ref="A25:H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6"/>
  <sheetViews>
    <sheetView showGridLines="0" zoomScaleNormal="100" workbookViewId="0">
      <pane ySplit="4" topLeftCell="A19" activePane="bottomLeft" state="frozen"/>
      <selection pane="bottomLeft" activeCell="G27" sqref="G27"/>
    </sheetView>
  </sheetViews>
  <sheetFormatPr defaultColWidth="8.6640625" defaultRowHeight="14.4" x14ac:dyDescent="0.3"/>
  <cols>
    <col min="1" max="2" width="20" style="15" customWidth="1"/>
    <col min="3" max="3" width="13" style="15" customWidth="1"/>
    <col min="4" max="5" width="14" style="15" customWidth="1"/>
    <col min="6" max="6" width="13" style="15" customWidth="1"/>
    <col min="7" max="7" width="24" style="15" customWidth="1"/>
    <col min="8" max="8" width="34" style="15" customWidth="1"/>
  </cols>
  <sheetData>
    <row r="1" spans="1:8" ht="30" customHeight="1" x14ac:dyDescent="0.3">
      <c r="A1" s="11" t="s">
        <v>695</v>
      </c>
      <c r="B1" s="11"/>
      <c r="C1" s="11"/>
      <c r="D1" s="11"/>
      <c r="E1" s="11"/>
      <c r="F1" s="11"/>
      <c r="G1" s="11"/>
      <c r="H1" s="11"/>
    </row>
    <row r="2" spans="1:8" ht="27.75" customHeight="1" x14ac:dyDescent="0.3">
      <c r="A2" s="10"/>
      <c r="B2" s="10"/>
      <c r="C2" s="10"/>
      <c r="D2" s="10"/>
      <c r="E2" s="10"/>
      <c r="F2" s="10"/>
      <c r="G2" s="10"/>
      <c r="H2" s="10"/>
    </row>
    <row r="3" spans="1:8" ht="14.25" customHeight="1" x14ac:dyDescent="0.3"/>
    <row r="4" spans="1:8" ht="21.75" customHeight="1" x14ac:dyDescent="0.3">
      <c r="A4" s="9" t="s">
        <v>696</v>
      </c>
      <c r="B4" s="9"/>
      <c r="C4" s="9"/>
      <c r="D4" s="9"/>
      <c r="E4" s="9"/>
      <c r="F4" s="9"/>
      <c r="G4" s="9"/>
      <c r="H4" s="9"/>
    </row>
    <row r="5" spans="1:8" ht="27" customHeight="1" x14ac:dyDescent="0.3">
      <c r="A5" s="27" t="s">
        <v>697</v>
      </c>
      <c r="B5" s="27" t="s">
        <v>670</v>
      </c>
      <c r="C5" s="27" t="s">
        <v>698</v>
      </c>
      <c r="D5" s="27" t="s">
        <v>699</v>
      </c>
      <c r="E5" s="27" t="s">
        <v>700</v>
      </c>
      <c r="F5" s="27" t="s">
        <v>701</v>
      </c>
      <c r="G5" s="27" t="s">
        <v>702</v>
      </c>
      <c r="H5" s="27" t="s">
        <v>703</v>
      </c>
    </row>
    <row r="6" spans="1:8" ht="15" customHeight="1" x14ac:dyDescent="0.3">
      <c r="A6" s="28" t="s">
        <v>704</v>
      </c>
      <c r="B6" s="28" t="s">
        <v>206</v>
      </c>
      <c r="C6" s="29">
        <f>VALUE("82")</f>
        <v>82</v>
      </c>
      <c r="D6" s="29">
        <f>AVERAGEIF(graduates!$B$2:$B$301,$B6,graduates!$C$2:$C$301)</f>
        <v>75.150000000000006</v>
      </c>
      <c r="E6" s="29">
        <f t="array" ref="E6">SQRT(SUMPRODUCT((graduates!$B$2:$B$301=$B6)*(graduates!$C$2:$C$301-D6)^2)/(COUNTIF(graduates!$B$2:$B$301,$B6)-1))</f>
        <v>4.1123066001662014</v>
      </c>
      <c r="F6" s="29">
        <f>(C6-D6)/E6</f>
        <v>1.6657318303365676</v>
      </c>
      <c r="G6" s="30" t="str">
        <f>IF(F6=MAX(F$6:F$7),"Higher relative standing","Lower relative standing")</f>
        <v>Higher relative standing</v>
      </c>
      <c r="H6" s="28" t="str">
        <f>"Z = "&amp;TEXT(F6,"0.0000")&amp;" SD from the track mean"</f>
        <v>Z = 1.6657 SD from the track mean</v>
      </c>
    </row>
    <row r="7" spans="1:8" ht="15" customHeight="1" x14ac:dyDescent="0.3">
      <c r="A7" s="28" t="s">
        <v>705</v>
      </c>
      <c r="B7" s="28" t="s">
        <v>269</v>
      </c>
      <c r="C7" s="29">
        <f>VALUE("84")</f>
        <v>84</v>
      </c>
      <c r="D7" s="29">
        <f>AVERAGEIF(graduates!$B$2:$B$301,$B7,graduates!$C$2:$C$301)</f>
        <v>71.350909090909084</v>
      </c>
      <c r="E7" s="29">
        <f>SQRT(SUMPRODUCT((graduates!$B$2:$B$301=$B7)*(graduates!$C$2:$C$301-D7)^2)/(COUNTIF(graduates!$B$2:$B$301,$B7)-1))</f>
        <v>11.27685063612001</v>
      </c>
      <c r="F7" s="29">
        <f>(C7-D7)/E7</f>
        <v>1.1216864812038558</v>
      </c>
      <c r="G7" s="31" t="str">
        <f>IF(F7=MAX(F$6:F$7),"Higher relative standing","Lower relative standing")</f>
        <v>Lower relative standing</v>
      </c>
      <c r="H7" s="28" t="str">
        <f>"Z = "&amp;TEXT(F7,"0.0000")&amp;" SD from the track mean"</f>
        <v>Z = 1.1217 SD from the track mean</v>
      </c>
    </row>
    <row r="8" spans="1:8" ht="15" customHeight="1" x14ac:dyDescent="0.3">
      <c r="A8" s="8" t="str">
        <f>"Decision: "&amp;IF(F6&gt;F7,"Candidate A is stronger relative to peers.","Candidate B is stronger relative to peers.")&amp;" The raw-score ranking reverses because each score is judged against its own track distribution."</f>
        <v>Decision: Candidate A is stronger relative to peers. The raw-score ranking reverses because each score is judged against its own track distribution.</v>
      </c>
      <c r="B8" s="8"/>
      <c r="C8" s="8"/>
      <c r="D8" s="8"/>
      <c r="E8" s="8"/>
      <c r="F8" s="8"/>
      <c r="G8" s="8"/>
      <c r="H8" s="8"/>
    </row>
    <row r="9" spans="1:8" ht="15" customHeight="1" x14ac:dyDescent="0.3">
      <c r="A9" s="8"/>
      <c r="B9" s="8"/>
      <c r="C9" s="8"/>
      <c r="D9" s="8"/>
      <c r="E9" s="8"/>
      <c r="F9" s="8"/>
      <c r="G9" s="8"/>
      <c r="H9" s="8"/>
    </row>
    <row r="10" spans="1:8" ht="14.25" customHeight="1" x14ac:dyDescent="0.3"/>
    <row r="11" spans="1:8" ht="15" customHeight="1" x14ac:dyDescent="0.3">
      <c r="A11" s="9" t="s">
        <v>706</v>
      </c>
      <c r="B11" s="9"/>
      <c r="C11" s="9"/>
      <c r="D11" s="9"/>
      <c r="E11" s="9"/>
      <c r="F11" s="9"/>
      <c r="G11" s="9"/>
      <c r="H11" s="9"/>
    </row>
    <row r="12" spans="1:8" ht="27" customHeight="1" x14ac:dyDescent="0.3">
      <c r="A12" s="27" t="s">
        <v>707</v>
      </c>
      <c r="B12" s="27" t="s">
        <v>708</v>
      </c>
      <c r="C12" s="27" t="s">
        <v>700</v>
      </c>
      <c r="D12" s="27" t="s">
        <v>709</v>
      </c>
      <c r="E12" s="27" t="s">
        <v>701</v>
      </c>
      <c r="F12" s="27" t="s">
        <v>710</v>
      </c>
      <c r="G12" s="27" t="s">
        <v>711</v>
      </c>
      <c r="H12" s="27" t="s">
        <v>712</v>
      </c>
    </row>
    <row r="13" spans="1:8" ht="30" customHeight="1" x14ac:dyDescent="0.3">
      <c r="A13" s="28" t="s">
        <v>19</v>
      </c>
      <c r="B13" s="29">
        <f>AVERAGE(graduates!$G$2:$G$301)</f>
        <v>57.783333333333331</v>
      </c>
      <c r="C13" s="29">
        <f>STDEV(graduates!$G$2:$G$301)</f>
        <v>37.594247970806968</v>
      </c>
      <c r="D13" s="29">
        <f>VALUE("15")</f>
        <v>15</v>
      </c>
      <c r="E13" s="29">
        <f>(D13-B13)/C13</f>
        <v>-1.1380287049911422</v>
      </c>
      <c r="F13" s="28" t="str">
        <f>"Lower is better"</f>
        <v>Lower is better</v>
      </c>
      <c r="G13" s="28" t="str">
        <f>"15 days is "&amp;TEXT(ABS(E13),"0.0000")&amp;" SD below the mean."</f>
        <v>15 days is 1.1380 SD below the mean.</v>
      </c>
      <c r="H13" s="30" t="str">
        <f>IF(E13&lt;0,"Good news","Needs context")</f>
        <v>Good news</v>
      </c>
    </row>
    <row r="14" spans="1:8" ht="14.25" customHeight="1" x14ac:dyDescent="0.3"/>
    <row r="15" spans="1:8" ht="14.25" customHeight="1" x14ac:dyDescent="0.3"/>
    <row r="16" spans="1:8" ht="15" customHeight="1" x14ac:dyDescent="0.3">
      <c r="A16" s="9" t="s">
        <v>713</v>
      </c>
      <c r="B16" s="9"/>
      <c r="C16" s="9"/>
      <c r="D16" s="9"/>
      <c r="E16" s="9"/>
      <c r="F16" s="9"/>
      <c r="G16" s="9"/>
      <c r="H16" s="9"/>
    </row>
    <row r="17" spans="1:8" ht="27" customHeight="1" x14ac:dyDescent="0.3">
      <c r="A17" s="27" t="s">
        <v>714</v>
      </c>
      <c r="B17" s="27" t="s">
        <v>715</v>
      </c>
      <c r="C17" s="27" t="s">
        <v>716</v>
      </c>
      <c r="D17" s="27" t="s">
        <v>712</v>
      </c>
      <c r="E17" s="27" t="s">
        <v>711</v>
      </c>
    </row>
    <row r="18" spans="1:8" ht="30" customHeight="1" x14ac:dyDescent="0.3">
      <c r="A18" s="28" t="s">
        <v>717</v>
      </c>
      <c r="B18" s="32">
        <f>AVERAGE(Z_Scores!$F$5:$F$304)</f>
        <v>-2.6423307986078724E-16</v>
      </c>
      <c r="C18" s="32">
        <f>0</f>
        <v>0</v>
      </c>
      <c r="D18" s="30" t="str">
        <f>IF(ABS(B18-C18)&lt;0.000001,"PASS","CHECK")</f>
        <v>PASS</v>
      </c>
      <c r="E18" s="7" t="s">
        <v>718</v>
      </c>
      <c r="F18" s="7"/>
      <c r="G18" s="7"/>
      <c r="H18" s="7"/>
    </row>
    <row r="19" spans="1:8" ht="27.75" customHeight="1" x14ac:dyDescent="0.3">
      <c r="A19" s="28" t="s">
        <v>719</v>
      </c>
      <c r="B19" s="32">
        <f>STDEV(Z_Scores!$F$5:$F$304)</f>
        <v>0.99497063031224464</v>
      </c>
      <c r="C19" s="32">
        <f>1</f>
        <v>1</v>
      </c>
      <c r="D19" s="30" t="str">
        <f>IF(ABS(B19-C19)&lt;0.01,"PASS","CHECK")</f>
        <v>PASS</v>
      </c>
      <c r="E19" s="7" t="s">
        <v>720</v>
      </c>
      <c r="F19" s="7"/>
      <c r="G19" s="7"/>
      <c r="H19" s="7"/>
    </row>
    <row r="20" spans="1:8" ht="27.75" customHeight="1" x14ac:dyDescent="0.3">
      <c r="A20" s="28" t="s">
        <v>721</v>
      </c>
      <c r="B20" s="32">
        <f>STDEVP(Z_Scores!$F$5:$F$304)</f>
        <v>0.99331096171675548</v>
      </c>
      <c r="C20" s="32">
        <f>1</f>
        <v>1</v>
      </c>
      <c r="D20" s="28" t="s">
        <v>722</v>
      </c>
      <c r="E20" s="7" t="s">
        <v>723</v>
      </c>
      <c r="F20" s="7"/>
      <c r="G20" s="7"/>
      <c r="H20" s="7"/>
    </row>
    <row r="21" spans="1:8" ht="14.25" customHeight="1" x14ac:dyDescent="0.3"/>
    <row r="22" spans="1:8" ht="14.25" customHeight="1" x14ac:dyDescent="0.3"/>
    <row r="23" spans="1:8" ht="15" customHeight="1" x14ac:dyDescent="0.3">
      <c r="A23" s="9" t="s">
        <v>724</v>
      </c>
      <c r="B23" s="9"/>
      <c r="C23" s="9"/>
      <c r="D23" s="9"/>
      <c r="E23" s="9"/>
      <c r="F23" s="9"/>
      <c r="G23" s="9"/>
      <c r="H23" s="9"/>
    </row>
    <row r="24" spans="1:8" ht="21.75" customHeight="1" x14ac:dyDescent="0.3">
      <c r="A24" s="6" t="s">
        <v>725</v>
      </c>
      <c r="B24" s="6"/>
      <c r="C24" s="6"/>
      <c r="D24" s="6"/>
      <c r="E24" s="6"/>
      <c r="F24" s="6"/>
      <c r="G24" s="6"/>
      <c r="H24" s="6"/>
    </row>
    <row r="25" spans="1:8" ht="15" customHeight="1" x14ac:dyDescent="0.3">
      <c r="A25" s="6"/>
      <c r="B25" s="6"/>
      <c r="C25" s="6"/>
      <c r="D25" s="6"/>
      <c r="E25" s="6"/>
      <c r="F25" s="6"/>
      <c r="G25" s="6"/>
      <c r="H25" s="6"/>
    </row>
    <row r="26" spans="1:8" ht="15" customHeight="1" x14ac:dyDescent="0.3">
      <c r="A26" s="6"/>
      <c r="B26" s="6"/>
      <c r="C26" s="6"/>
      <c r="D26" s="6"/>
      <c r="E26" s="6"/>
      <c r="F26" s="6"/>
      <c r="G26" s="6"/>
      <c r="H26" s="6"/>
    </row>
  </sheetData>
  <mergeCells count="11">
    <mergeCell ref="A24:H26"/>
    <mergeCell ref="A16:H16"/>
    <mergeCell ref="E18:H18"/>
    <mergeCell ref="E19:H19"/>
    <mergeCell ref="E20:H20"/>
    <mergeCell ref="A23:H23"/>
    <mergeCell ref="A1:H1"/>
    <mergeCell ref="A2:H2"/>
    <mergeCell ref="A4:H4"/>
    <mergeCell ref="A8:H9"/>
    <mergeCell ref="A11:H11"/>
  </mergeCells>
  <pageMargins left="0.2" right="0.2" top="0.25" bottom="0.25"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1"/>
  <sheetViews>
    <sheetView showGridLines="0" zoomScale="90" zoomScaleNormal="90" workbookViewId="0">
      <pane ySplit="4" topLeftCell="A5" activePane="bottomLeft" state="frozen"/>
      <selection pane="bottomLeft" activeCell="A64" sqref="A64"/>
    </sheetView>
  </sheetViews>
  <sheetFormatPr defaultColWidth="8.6640625" defaultRowHeight="14.4" x14ac:dyDescent="0.3"/>
  <cols>
    <col min="1" max="1" width="19" style="15" customWidth="1"/>
    <col min="2" max="2" width="14" style="15" customWidth="1"/>
    <col min="3" max="3" width="16.44140625" style="15" customWidth="1"/>
    <col min="4" max="4" width="17" style="15" customWidth="1"/>
    <col min="5" max="5" width="13" style="15" customWidth="1"/>
    <col min="6" max="6" width="18" style="15" customWidth="1"/>
    <col min="7" max="8" width="31" style="15" customWidth="1"/>
    <col min="9" max="10" width="14" style="15" customWidth="1"/>
    <col min="11" max="12" width="4" style="15" customWidth="1"/>
  </cols>
  <sheetData>
    <row r="1" spans="1:12" ht="30" customHeight="1" x14ac:dyDescent="0.3">
      <c r="A1" s="11" t="s">
        <v>726</v>
      </c>
      <c r="B1" s="11"/>
      <c r="C1" s="11"/>
      <c r="D1" s="11"/>
      <c r="E1" s="11"/>
      <c r="F1" s="11"/>
      <c r="G1" s="11"/>
      <c r="H1" s="11"/>
      <c r="I1" s="11"/>
      <c r="J1" s="11"/>
      <c r="K1" s="11"/>
      <c r="L1" s="11"/>
    </row>
    <row r="2" spans="1:12" ht="27.75" customHeight="1" x14ac:dyDescent="0.3">
      <c r="A2" s="10"/>
      <c r="B2" s="10"/>
      <c r="C2" s="10"/>
      <c r="D2" s="10"/>
      <c r="E2" s="10"/>
      <c r="F2" s="10"/>
      <c r="G2" s="10"/>
      <c r="H2" s="10"/>
      <c r="I2" s="10"/>
      <c r="J2" s="10"/>
      <c r="K2" s="10"/>
      <c r="L2" s="10"/>
    </row>
    <row r="3" spans="1:12" ht="14.25" customHeight="1" x14ac:dyDescent="0.3"/>
    <row r="4" spans="1:12" ht="21.75" customHeight="1" x14ac:dyDescent="0.3">
      <c r="A4" s="9" t="s">
        <v>727</v>
      </c>
      <c r="B4" s="9"/>
      <c r="C4" s="9"/>
      <c r="D4" s="9"/>
      <c r="E4" s="9"/>
      <c r="F4" s="9"/>
      <c r="G4" s="9"/>
      <c r="H4" s="9"/>
      <c r="I4" s="9"/>
      <c r="J4" s="9"/>
      <c r="K4" s="9"/>
      <c r="L4" s="9"/>
    </row>
    <row r="5" spans="1:12" ht="27" customHeight="1" x14ac:dyDescent="0.3">
      <c r="A5" s="27" t="s">
        <v>728</v>
      </c>
      <c r="B5" s="27" t="s">
        <v>671</v>
      </c>
      <c r="C5" s="27" t="s">
        <v>708</v>
      </c>
      <c r="D5" s="27" t="s">
        <v>729</v>
      </c>
      <c r="E5" s="27" t="s">
        <v>730</v>
      </c>
      <c r="F5" s="27" t="s">
        <v>731</v>
      </c>
      <c r="G5" s="33" t="s">
        <v>732</v>
      </c>
    </row>
    <row r="6" spans="1:12" ht="36.75" customHeight="1" x14ac:dyDescent="0.3">
      <c r="A6" s="28" t="s">
        <v>733</v>
      </c>
      <c r="B6" s="28">
        <f>COUNTIF(graduates!$B$2:$B$301,"Data Science")</f>
        <v>95</v>
      </c>
      <c r="C6" s="29">
        <f>AVERAGEIF(graduates!$B$2:$B$301,"Data Science",graduates!$C$2:$C$301)</f>
        <v>77.667368421052629</v>
      </c>
      <c r="D6" s="29">
        <f t="array" ref="D6">MEDIAN(_xlfn._xlws.FILTER(graduates!$C$2:$C$301, graduates!$B$2:$B$301="Data Science"))</f>
        <v>77.400000000000006</v>
      </c>
      <c r="E6" s="29" t="str">
        <f t="array" ref="E6">_xlfn.TEXTJOIN(", ", TRUE(), _xlfn.MODE.MULT(IF(graduates!$B$2:$B$301="Data Science", graduates!$C$2:$C$301)))</f>
        <v>73.9, 77.3</v>
      </c>
      <c r="F6" s="29">
        <f>ABS((_xlfn.QUARTILE.INC(graduates!$C$5:$C$99,3)+_xlfn.QUARTILE.INC(graduates!$C$5:$C$99,1)-(2*MEDIAN(graduates!$C$5:$C$99)))/(_xlfn.QUARTILE.INC(graduates!$C$5:$C$99,3)-_xlfn.QUARTILE.INC(graduates!$C$5:$C$99,1)))</f>
        <v>4.7619047619044882E-2</v>
      </c>
      <c r="G6" s="28" t="str">
        <f>"Low skewness ("&amp;TEXT(F6,"0.0000")&amp;") supports a roughly symmetric shape."</f>
        <v>Low skewness (0.0476) supports a roughly symmetric shape.</v>
      </c>
    </row>
    <row r="7" spans="1:12" ht="27.75" customHeight="1" x14ac:dyDescent="0.3">
      <c r="A7" s="28" t="s">
        <v>734</v>
      </c>
      <c r="B7" s="28">
        <f>COUNT(graduates!$D$2:$D$301)</f>
        <v>300</v>
      </c>
      <c r="C7" s="29">
        <f>AVERAGE(graduates!$D$2:$D$301)</f>
        <v>15.594999999999988</v>
      </c>
      <c r="D7" s="29">
        <f>MEDIAN(graduates!$D$2:$D$301)</f>
        <v>14.9</v>
      </c>
      <c r="E7" s="29">
        <f>MODE(graduates!$D$2:$D$301)</f>
        <v>16.5</v>
      </c>
      <c r="F7" s="29">
        <f>(_xlfn.QUARTILE.INC(graduates!$D$2:$D$301, 3) + _xlfn.QUARTILE.INC(graduates!$D$2:$D$301, 1) - 2 * MEDIAN(graduates!$D$2:$D$301)) / (_xlfn.QUARTILE.INC(graduates!$D$2:$D$301, 3) - _xlfn.QUARTILE.INC(graduates!$D$2:$D$301, 1))</f>
        <v>2.4390243902439126E-2</v>
      </c>
      <c r="G7" s="28" t="str">
        <f>"Right-skewed ("&amp;TEXT(F7,"0.0000")&amp;") — normal salary formulas need caution."</f>
        <v>Right-skewed (0.0244) — normal salary formulas need caution.</v>
      </c>
    </row>
    <row r="8" spans="1:12" ht="14.25" customHeight="1" x14ac:dyDescent="0.3"/>
    <row r="9" spans="1:12" ht="14.25" customHeight="1" x14ac:dyDescent="0.3"/>
    <row r="10" spans="1:12" ht="21.75" customHeight="1" x14ac:dyDescent="0.3">
      <c r="A10" s="9" t="s">
        <v>735</v>
      </c>
      <c r="B10" s="9"/>
      <c r="C10" s="9"/>
      <c r="D10" s="9"/>
      <c r="E10" s="9"/>
      <c r="F10" s="9"/>
      <c r="G10" s="9"/>
      <c r="H10" s="9"/>
      <c r="I10" s="9"/>
      <c r="J10" s="9"/>
      <c r="K10" s="9"/>
      <c r="L10" s="9"/>
    </row>
    <row r="11" spans="1:12" ht="27" customHeight="1" x14ac:dyDescent="0.3">
      <c r="A11" s="27" t="s">
        <v>736</v>
      </c>
      <c r="B11" s="27" t="s">
        <v>737</v>
      </c>
      <c r="C11" s="27" t="s">
        <v>637</v>
      </c>
      <c r="D11" s="27" t="s">
        <v>738</v>
      </c>
    </row>
    <row r="12" spans="1:12" ht="27.75" customHeight="1" x14ac:dyDescent="0.3">
      <c r="A12" s="28" t="s">
        <v>700</v>
      </c>
      <c r="B12" s="29">
        <f t="array" ref="B12">STDEV(_xlfn._xlws.FILTER(graduates!$C$2:$C$301, graduates!$B$2:$B$301="Data Science"))</f>
        <v>5.8158521833125265</v>
      </c>
      <c r="C12" s="28" t="s">
        <v>739</v>
      </c>
      <c r="D12" s="28" t="s">
        <v>740</v>
      </c>
    </row>
    <row r="13" spans="1:12" ht="27.75" customHeight="1" x14ac:dyDescent="0.3">
      <c r="A13" s="28" t="s">
        <v>741</v>
      </c>
      <c r="B13" s="28" t="str">
        <f>TEXT($C$6-$B$12,"0.0000")&amp;" to "&amp;TEXT($C$6+$B$12,"0.0000")</f>
        <v>71.8515 to 83.4832</v>
      </c>
      <c r="C13" s="28" t="s">
        <v>742</v>
      </c>
      <c r="D13" s="28" t="s">
        <v>743</v>
      </c>
    </row>
    <row r="14" spans="1:12" ht="27.75" customHeight="1" x14ac:dyDescent="0.3">
      <c r="A14" s="28" t="s">
        <v>744</v>
      </c>
      <c r="B14" s="28" t="str">
        <f>TEXT($C$6-2*$B$12,"0.0000")&amp;" to "&amp;TEXT($C$6+2*$B$12,"0.0000")</f>
        <v>66.0357 to 89.2991</v>
      </c>
      <c r="C14" s="28" t="s">
        <v>745</v>
      </c>
      <c r="D14" s="28" t="s">
        <v>746</v>
      </c>
    </row>
    <row r="15" spans="1:12" ht="27.75" customHeight="1" x14ac:dyDescent="0.3">
      <c r="A15" s="28" t="s">
        <v>747</v>
      </c>
      <c r="B15" s="34">
        <f>2.5%</f>
        <v>2.5000000000000001E-2</v>
      </c>
      <c r="C15" s="28" t="s">
        <v>748</v>
      </c>
      <c r="D15" s="28" t="s">
        <v>749</v>
      </c>
    </row>
    <row r="16" spans="1:12" ht="15" customHeight="1" x14ac:dyDescent="0.3">
      <c r="A16" s="28" t="s">
        <v>750</v>
      </c>
      <c r="B16" s="29">
        <f>$C$6+2*$B$12</f>
        <v>89.299072787677687</v>
      </c>
      <c r="C16" s="34" t="str">
        <f>$C$6&amp;" + 2×"&amp;$B$12</f>
        <v>77.6673684210526 + 2×5.81585218331253</v>
      </c>
      <c r="D16" s="28" t="s">
        <v>751</v>
      </c>
    </row>
    <row r="17" spans="1:12" ht="15" customHeight="1" x14ac:dyDescent="0.3">
      <c r="A17" s="28" t="s">
        <v>752</v>
      </c>
      <c r="B17" s="28">
        <f>COUNTIFS(graduates!$B$2:$B$301,"Data Science",graduates!$C$2:$C$301,"&gt;"&amp;B16)</f>
        <v>2</v>
      </c>
      <c r="C17" s="34">
        <f>B17/$B$6</f>
        <v>2.1052631578947368E-2</v>
      </c>
      <c r="D17" s="28" t="str">
        <f>TEXT(B17,"0")&amp;" of "&amp;TEXT($B$6,"0")&amp;" = "&amp;TEXT(C17,"0.00%")</f>
        <v>2 of 95 = 2.11%</v>
      </c>
    </row>
    <row r="18" spans="1:12" ht="15" customHeight="1" x14ac:dyDescent="0.3">
      <c r="A18" s="28"/>
      <c r="B18" s="28"/>
      <c r="C18" s="34"/>
      <c r="D18" s="28"/>
    </row>
    <row r="19" spans="1:12" ht="21.75" customHeight="1" x14ac:dyDescent="0.3">
      <c r="A19" s="9" t="s">
        <v>753</v>
      </c>
      <c r="B19" s="9"/>
      <c r="C19" s="9"/>
      <c r="D19" s="9"/>
      <c r="E19" s="9"/>
      <c r="F19" s="9"/>
      <c r="G19" s="9"/>
      <c r="H19" s="9"/>
      <c r="I19" s="9"/>
      <c r="J19" s="9"/>
      <c r="K19" s="9"/>
      <c r="L19" s="9"/>
    </row>
    <row r="20" spans="1:12" ht="27" customHeight="1" x14ac:dyDescent="0.3">
      <c r="A20" s="27" t="s">
        <v>670</v>
      </c>
      <c r="B20" s="27" t="s">
        <v>754</v>
      </c>
      <c r="C20" s="27" t="s">
        <v>729</v>
      </c>
      <c r="D20" s="27" t="s">
        <v>755</v>
      </c>
      <c r="E20" s="27" t="s">
        <v>756</v>
      </c>
      <c r="F20" s="27" t="s">
        <v>757</v>
      </c>
      <c r="H20" s="35" t="s">
        <v>670</v>
      </c>
      <c r="I20" s="35" t="s">
        <v>756</v>
      </c>
    </row>
    <row r="21" spans="1:12" ht="15" customHeight="1" x14ac:dyDescent="0.3">
      <c r="A21" s="28" t="s">
        <v>206</v>
      </c>
      <c r="B21" s="29">
        <f t="array" ref="B21">QUARTILE(IF(graduates!$B$2:$B$301=A21, graduates!$D$2:$D$301), 1)</f>
        <v>12.4</v>
      </c>
      <c r="C21" s="29">
        <f t="array" ref="C21">MEDIAN(IF(graduates!$B$2:$B$301=A21, graduates!$D$2:$D$301))</f>
        <v>15.45</v>
      </c>
      <c r="D21" s="29">
        <f t="array" ref="D21">QUARTILE(IF(graduates!$B$2:$B$301=A21, graduates!$D$2:$D$301), 3)</f>
        <v>20.525000000000002</v>
      </c>
      <c r="E21" s="29">
        <f>((D21-C21)-(C21-B21))/(D21-B21)</f>
        <v>0.24923076923076964</v>
      </c>
      <c r="F21" s="28" t="str">
        <f>IF(E21&gt;0.1,"Right-skewed",IF(E21&lt;-0.1,"Left-skewed","Near symmetric"))</f>
        <v>Right-skewed</v>
      </c>
      <c r="H21" s="15" t="str">
        <f>A21</f>
        <v>Cyber Security</v>
      </c>
      <c r="I21" s="36">
        <f>E21</f>
        <v>0.24923076923076964</v>
      </c>
    </row>
    <row r="22" spans="1:12" ht="15" customHeight="1" x14ac:dyDescent="0.3">
      <c r="A22" s="28" t="s">
        <v>21</v>
      </c>
      <c r="B22" s="29">
        <f t="array" ref="B22">QUARTILE(IF(graduates!$B$2:$B$301=A22, graduates!$D$2:$D$301), 1)</f>
        <v>13.4</v>
      </c>
      <c r="C22" s="29">
        <f t="array" ref="C22">MEDIAN(IF(graduates!$B$2:$B$301=A22, graduates!$D$2:$D$301))</f>
        <v>16.899999999999999</v>
      </c>
      <c r="D22" s="29">
        <f t="array" ref="D22">QUARTILE(IF(graduates!$B$2:$B$301=A22, graduates!$D$2:$D$301), 3)</f>
        <v>20.9</v>
      </c>
      <c r="E22" s="29">
        <f>((D22-C22)-(C22-B22))/(D22-B22)</f>
        <v>6.6666666666666916E-2</v>
      </c>
      <c r="F22" s="28" t="str">
        <f>IF(E22&gt;0.1,"Right-skewed",IF(E22&lt;-0.1,"Left-skewed","Near symmetric"))</f>
        <v>Near symmetric</v>
      </c>
      <c r="H22" s="15" t="str">
        <f>A22</f>
        <v>Data Science</v>
      </c>
      <c r="I22" s="36">
        <f>E22</f>
        <v>6.6666666666666916E-2</v>
      </c>
    </row>
    <row r="23" spans="1:12" ht="15" customHeight="1" x14ac:dyDescent="0.3">
      <c r="A23" s="28" t="s">
        <v>269</v>
      </c>
      <c r="B23" s="29">
        <f t="array" ref="B23">QUARTILE(IF(graduates!$B$2:$B$301=A23, graduates!$D$2:$D$301), 1)</f>
        <v>9.8500000000000014</v>
      </c>
      <c r="C23" s="29">
        <f t="array" ref="C23">MEDIAN(IF(graduates!$B$2:$B$301=A23, graduates!$D$2:$D$301))</f>
        <v>12.4</v>
      </c>
      <c r="D23" s="29">
        <f t="array" ref="D23">QUARTILE(IF(graduates!$B$2:$B$301=A23, graduates!$D$2:$D$301), 3)</f>
        <v>15</v>
      </c>
      <c r="E23" s="29">
        <f>((D23-C23)-(C23-B23))/(D23-B23)</f>
        <v>9.7087378640778113E-3</v>
      </c>
      <c r="F23" s="28" t="str">
        <f>IF(E23&gt;0.1,"Right-skewed",IF(E23&lt;-0.1,"Left-skewed","Near symmetric"))</f>
        <v>Near symmetric</v>
      </c>
      <c r="H23" s="15" t="str">
        <f>A23</f>
        <v>UI/UX</v>
      </c>
      <c r="I23" s="36">
        <f>E23</f>
        <v>9.7087378640778113E-3</v>
      </c>
    </row>
    <row r="24" spans="1:12" ht="15" customHeight="1" x14ac:dyDescent="0.3">
      <c r="A24" s="28" t="s">
        <v>117</v>
      </c>
      <c r="B24" s="29">
        <f t="array" ref="B24">QUARTILE(IF(graduates!$B$2:$B$301=A24, graduates!$D$2:$D$301), 1)</f>
        <v>10.1</v>
      </c>
      <c r="C24" s="29">
        <f t="array" ref="C24">MEDIAN(IF(graduates!$B$2:$B$301=A24, graduates!$D$2:$D$301))</f>
        <v>13.45</v>
      </c>
      <c r="D24" s="29">
        <f t="array" ref="D24">QUARTILE(IF(graduates!$B$2:$B$301=A24, graduates!$D$2:$D$301), 3)</f>
        <v>16.5</v>
      </c>
      <c r="E24" s="29">
        <f>((D24-C24)-(C24-B24))/(D24-B24)</f>
        <v>-4.6874999999999833E-2</v>
      </c>
      <c r="F24" s="28" t="str">
        <f>IF(E24&gt;0.1,"Right-skewed",IF(E24&lt;-0.1,"Left-skewed","Near symmetric"))</f>
        <v>Near symmetric</v>
      </c>
      <c r="H24" s="15" t="str">
        <f>A24</f>
        <v>Web Development</v>
      </c>
      <c r="I24" s="36">
        <f>E24</f>
        <v>-4.6874999999999833E-2</v>
      </c>
    </row>
    <row r="25" spans="1:12" ht="14.25" customHeight="1" x14ac:dyDescent="0.3"/>
    <row r="26" spans="1:12" ht="14.25" customHeight="1" x14ac:dyDescent="0.3"/>
    <row r="27" spans="1:12" ht="14.25" customHeight="1" x14ac:dyDescent="0.3"/>
    <row r="28" spans="1:12" ht="14.25" customHeight="1" x14ac:dyDescent="0.3"/>
    <row r="29" spans="1:12" ht="14.25" customHeight="1" x14ac:dyDescent="0.3"/>
    <row r="30" spans="1:12" ht="14.25" customHeight="1" x14ac:dyDescent="0.3"/>
    <row r="31" spans="1:12" ht="14.25" customHeight="1" x14ac:dyDescent="0.3"/>
    <row r="32" spans="1:12" ht="14.25" customHeight="1" x14ac:dyDescent="0.3"/>
    <row r="33" spans="1:12" ht="15" customHeight="1" x14ac:dyDescent="0.3">
      <c r="H33" s="35" t="s">
        <v>758</v>
      </c>
      <c r="I33" s="35" t="s">
        <v>759</v>
      </c>
    </row>
    <row r="34" spans="1:12" ht="15" customHeight="1" x14ac:dyDescent="0.3">
      <c r="H34" s="15" t="str">
        <f>C_Distributions!C6</f>
        <v>60–&lt;65</v>
      </c>
      <c r="I34" s="15">
        <f>C_Distributions!D6</f>
        <v>1</v>
      </c>
    </row>
    <row r="35" spans="1:12" ht="15" customHeight="1" x14ac:dyDescent="0.3">
      <c r="H35" s="15" t="str">
        <f>C_Distributions!C7</f>
        <v>65–&lt;70</v>
      </c>
      <c r="I35" s="15">
        <f>C_Distributions!D7</f>
        <v>7</v>
      </c>
    </row>
    <row r="36" spans="1:12" ht="15" customHeight="1" x14ac:dyDescent="0.3">
      <c r="H36" s="15" t="str">
        <f>C_Distributions!C8</f>
        <v>70–&lt;75</v>
      </c>
      <c r="I36" s="15">
        <f>C_Distributions!D8</f>
        <v>26</v>
      </c>
    </row>
    <row r="37" spans="1:12" ht="15" customHeight="1" x14ac:dyDescent="0.3">
      <c r="H37" s="15" t="str">
        <f>C_Distributions!C9</f>
        <v>75–&lt;80</v>
      </c>
      <c r="I37" s="15">
        <f>C_Distributions!D9</f>
        <v>29</v>
      </c>
    </row>
    <row r="38" spans="1:12" ht="15" customHeight="1" x14ac:dyDescent="0.3">
      <c r="H38" s="15" t="str">
        <f>C_Distributions!C10</f>
        <v>80–&lt;85</v>
      </c>
      <c r="I38" s="15">
        <f>C_Distributions!D10</f>
        <v>22</v>
      </c>
    </row>
    <row r="39" spans="1:12" ht="15" customHeight="1" x14ac:dyDescent="0.3">
      <c r="H39" s="15" t="str">
        <f>C_Distributions!C11</f>
        <v>85–&lt;90</v>
      </c>
      <c r="I39" s="15">
        <f>C_Distributions!D11</f>
        <v>8</v>
      </c>
    </row>
    <row r="40" spans="1:12" ht="15" customHeight="1" x14ac:dyDescent="0.3">
      <c r="H40" s="15" t="str">
        <f>C_Distributions!C12</f>
        <v>90–&lt;95</v>
      </c>
      <c r="I40" s="15">
        <f>C_Distributions!D12</f>
        <v>2</v>
      </c>
    </row>
    <row r="41" spans="1:12" ht="14.25" customHeight="1" x14ac:dyDescent="0.3"/>
    <row r="42" spans="1:12" ht="14.25" customHeight="1" x14ac:dyDescent="0.3"/>
    <row r="43" spans="1:12" ht="14.25" customHeight="1" x14ac:dyDescent="0.3"/>
    <row r="44" spans="1:12" ht="21.75" customHeight="1" x14ac:dyDescent="0.3">
      <c r="A44" s="9" t="s">
        <v>760</v>
      </c>
      <c r="B44" s="9"/>
      <c r="C44" s="9"/>
      <c r="D44" s="9"/>
      <c r="E44" s="9"/>
      <c r="F44" s="9"/>
      <c r="G44" s="9"/>
      <c r="H44" s="9"/>
      <c r="I44" s="9"/>
      <c r="J44" s="9"/>
      <c r="K44" s="9"/>
      <c r="L44" s="9"/>
    </row>
    <row r="45" spans="1:12" ht="15" customHeight="1" x14ac:dyDescent="0.3">
      <c r="A45" s="5" t="str">
        <f>"Conclusion: Data Science assessment has low skewness ("&amp;TEXT(F6,"0.0000")&amp;"), so the empirical-rule exercise is reasonable. The theoretical upper tail above +2 SD is "&amp;TEXT(B15,"0.0%")&amp;"; the observed rate is "&amp;TEXT(C17,"0.00%")&amp;". The minor difference exists because: (1) real sample data is discrete, and (2) sampling variation in n=300 causes small deviations from theoretical limits. Starting salary is right-skewed ("&amp;TEXT(F7,"0.0000")&amp;"), so a normal model should not be assumed for salary without qualification."</f>
        <v>Conclusion: Data Science assessment has low skewness (0.0476), so the empirical-rule exercise is reasonable. The theoretical upper tail above +2 SD is 2.5%; the observed rate is 2.11%. The minor difference exists because: (1) real sample data is discrete, and (2) sampling variation in n=300 causes small deviations from theoretical limits. Starting salary is right-skewed (0.0244), so a normal model should not be assumed for salary without qualification.</v>
      </c>
      <c r="B45" s="5"/>
      <c r="C45" s="5"/>
      <c r="D45" s="5"/>
      <c r="E45" s="5"/>
      <c r="F45" s="5"/>
      <c r="G45" s="5"/>
      <c r="H45" s="5"/>
      <c r="I45" s="5"/>
      <c r="J45" s="5"/>
      <c r="K45" s="5"/>
      <c r="L45" s="5"/>
    </row>
    <row r="46" spans="1:12" ht="15" customHeight="1" x14ac:dyDescent="0.3">
      <c r="A46" s="5"/>
      <c r="B46" s="5"/>
      <c r="C46" s="5"/>
      <c r="D46" s="5"/>
      <c r="E46" s="5"/>
      <c r="F46" s="5"/>
      <c r="G46" s="5"/>
      <c r="H46" s="5"/>
      <c r="I46" s="5"/>
      <c r="J46" s="5"/>
      <c r="K46" s="5"/>
      <c r="L46" s="5"/>
    </row>
    <row r="47" spans="1:12" ht="15" customHeight="1" x14ac:dyDescent="0.3">
      <c r="A47" s="5"/>
      <c r="B47" s="5"/>
      <c r="C47" s="5"/>
      <c r="D47" s="5"/>
      <c r="E47" s="5"/>
      <c r="F47" s="5"/>
      <c r="G47" s="5"/>
      <c r="H47" s="5"/>
      <c r="I47" s="5"/>
      <c r="J47" s="5"/>
      <c r="K47" s="5"/>
      <c r="L47" s="5"/>
    </row>
    <row r="49" spans="1:1" ht="15" customHeight="1" x14ac:dyDescent="0.3">
      <c r="A49" s="15" t="s">
        <v>761</v>
      </c>
    </row>
    <row r="51" spans="1:1" ht="15" customHeight="1" x14ac:dyDescent="0.3">
      <c r="A51" s="15" t="s">
        <v>762</v>
      </c>
    </row>
  </sheetData>
  <mergeCells count="7">
    <mergeCell ref="A44:L44"/>
    <mergeCell ref="A45:L47"/>
    <mergeCell ref="A1:L1"/>
    <mergeCell ref="A2:L2"/>
    <mergeCell ref="A4:L4"/>
    <mergeCell ref="A10:L10"/>
    <mergeCell ref="A19:L19"/>
  </mergeCells>
  <pageMargins left="0.2" right="0.2" top="0.25" bottom="0.25" header="0.511811023622047" footer="0.511811023622047"/>
  <pageSetup paperSize="9" orientation="landscape"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21"/>
  <sheetViews>
    <sheetView zoomScaleNormal="100" workbookViewId="0">
      <selection activeCell="L4" sqref="L4"/>
    </sheetView>
  </sheetViews>
  <sheetFormatPr defaultColWidth="0" defaultRowHeight="14.4" x14ac:dyDescent="0.3"/>
  <cols>
    <col min="1" max="1" width="22" style="15" customWidth="1"/>
    <col min="2" max="7" width="10" style="15" customWidth="1"/>
    <col min="8" max="10" width="12" style="15" customWidth="1"/>
    <col min="11" max="12" width="14" style="15" customWidth="1"/>
    <col min="13" max="16384" width="8.6640625" style="15" hidden="1"/>
  </cols>
  <sheetData>
    <row r="1" spans="1:18" ht="24" customHeight="1" x14ac:dyDescent="0.3">
      <c r="A1" s="14" t="s">
        <v>763</v>
      </c>
      <c r="B1" s="14"/>
      <c r="C1" s="14"/>
      <c r="D1" s="14"/>
      <c r="E1" s="14"/>
      <c r="F1" s="14"/>
      <c r="G1" s="14"/>
      <c r="H1" s="14"/>
      <c r="M1" s="15" t="s">
        <v>764</v>
      </c>
      <c r="N1" s="15" t="s">
        <v>765</v>
      </c>
      <c r="O1" s="15" t="s">
        <v>766</v>
      </c>
      <c r="P1" s="15" t="s">
        <v>767</v>
      </c>
      <c r="Q1" s="15" t="s">
        <v>768</v>
      </c>
      <c r="R1" s="15" t="s">
        <v>769</v>
      </c>
    </row>
    <row r="2" spans="1:18" ht="15" customHeight="1" x14ac:dyDescent="0.3">
      <c r="M2" s="15">
        <f>IF(lab_task!$B$2=$A$5,lab_task!$C$2,"")</f>
        <v>14.9</v>
      </c>
      <c r="N2" s="15" t="str">
        <f>IF(lab_task!$B$2=$A$6,lab_task!$C$2,"")</f>
        <v/>
      </c>
      <c r="O2" s="15">
        <f t="shared" ref="O2:O33" si="0">IF(AND(M2&lt;&gt;"",M2&gt;=$I$5),M2,"")</f>
        <v>14.9</v>
      </c>
      <c r="P2" s="15">
        <f t="shared" ref="P2:P33" si="1">IF(AND(M2&lt;&gt;"",M2&lt;=$J$5),M2,"")</f>
        <v>14.9</v>
      </c>
      <c r="Q2" s="15" t="str">
        <f t="shared" ref="Q2:Q33" si="2">IF(AND(N2&lt;&gt;"",N2&gt;=$I$6),N2,"")</f>
        <v/>
      </c>
      <c r="R2" s="15" t="str">
        <f t="shared" ref="R2:R33" si="3">IF(AND(N2&lt;&gt;"",N2&lt;=$J$6),N2,"")</f>
        <v/>
      </c>
    </row>
    <row r="3" spans="1:18" ht="15.75" customHeight="1" x14ac:dyDescent="0.3">
      <c r="A3" s="22" t="s">
        <v>770</v>
      </c>
      <c r="M3" s="15">
        <f>IF(lab_task!$B$3=$A$5,lab_task!$C$3,"")</f>
        <v>13.8</v>
      </c>
      <c r="N3" s="15" t="str">
        <f>IF(lab_task!$B$3=$A$6,lab_task!$C$3,"")</f>
        <v/>
      </c>
      <c r="O3" s="15">
        <f t="shared" si="0"/>
        <v>13.8</v>
      </c>
      <c r="P3" s="15">
        <f t="shared" si="1"/>
        <v>13.8</v>
      </c>
      <c r="Q3" s="15" t="str">
        <f t="shared" si="2"/>
        <v/>
      </c>
      <c r="R3" s="15" t="str">
        <f t="shared" si="3"/>
        <v/>
      </c>
    </row>
    <row r="4" spans="1:18" ht="25.5" customHeight="1" x14ac:dyDescent="0.3">
      <c r="A4" s="23" t="s">
        <v>771</v>
      </c>
      <c r="B4" s="23" t="s">
        <v>671</v>
      </c>
      <c r="C4" s="23" t="s">
        <v>772</v>
      </c>
      <c r="D4" s="23" t="s">
        <v>754</v>
      </c>
      <c r="E4" s="23" t="s">
        <v>729</v>
      </c>
      <c r="F4" s="23" t="s">
        <v>755</v>
      </c>
      <c r="G4" s="23" t="s">
        <v>773</v>
      </c>
      <c r="H4" s="23" t="s">
        <v>774</v>
      </c>
      <c r="I4" s="23" t="s">
        <v>775</v>
      </c>
      <c r="J4" s="23" t="s">
        <v>776</v>
      </c>
      <c r="K4" s="23" t="s">
        <v>777</v>
      </c>
      <c r="L4" s="23" t="s">
        <v>778</v>
      </c>
      <c r="M4" s="15">
        <f>IF(lab_task!$B$4=$A$5,lab_task!$C$4,"")</f>
        <v>15</v>
      </c>
      <c r="N4" s="15" t="str">
        <f>IF(lab_task!$B$4=$A$6,lab_task!$C$4,"")</f>
        <v/>
      </c>
      <c r="O4" s="15">
        <f t="shared" si="0"/>
        <v>15</v>
      </c>
      <c r="P4" s="15">
        <f t="shared" si="1"/>
        <v>15</v>
      </c>
      <c r="Q4" s="15" t="str">
        <f t="shared" si="2"/>
        <v/>
      </c>
      <c r="R4" s="15" t="str">
        <f t="shared" si="3"/>
        <v/>
      </c>
    </row>
    <row r="5" spans="1:18" ht="15" customHeight="1" x14ac:dyDescent="0.3">
      <c r="A5" s="24" t="s">
        <v>514</v>
      </c>
      <c r="B5" s="24">
        <f>COUNTIF(lab_task!$B$2:$B$121,$A5)</f>
        <v>60</v>
      </c>
      <c r="C5" s="24">
        <f>MIN(M$2:M$121)</f>
        <v>7.7</v>
      </c>
      <c r="D5" s="24">
        <f>QUARTILE(M$2:M$121,1)</f>
        <v>12.074999999999999</v>
      </c>
      <c r="E5" s="24">
        <f>MEDIAN(M$2:M$121)</f>
        <v>13.850000000000001</v>
      </c>
      <c r="F5" s="24">
        <f>QUARTILE(M$2:M$121,3)</f>
        <v>15.725</v>
      </c>
      <c r="G5" s="24">
        <f>MAX(M$2:M$121)</f>
        <v>20</v>
      </c>
      <c r="H5" s="24">
        <f>F5-D5</f>
        <v>3.6500000000000004</v>
      </c>
      <c r="I5" s="24">
        <f>D5-1.5*H5</f>
        <v>6.5999999999999988</v>
      </c>
      <c r="J5" s="24">
        <f>F5+1.5*H5</f>
        <v>21.2</v>
      </c>
      <c r="K5" s="24">
        <f>MIN(O$2:O$121)</f>
        <v>7.7</v>
      </c>
      <c r="L5" s="24">
        <f>MAX(P$2:P$121)</f>
        <v>20</v>
      </c>
      <c r="M5" s="15">
        <f>IF(lab_task!$B$5=$A$5,lab_task!$C$5,"")</f>
        <v>8</v>
      </c>
      <c r="N5" s="15" t="str">
        <f>IF(lab_task!$B$5=$A$6,lab_task!$C$5,"")</f>
        <v/>
      </c>
      <c r="O5" s="15">
        <f t="shared" si="0"/>
        <v>8</v>
      </c>
      <c r="P5" s="15">
        <f t="shared" si="1"/>
        <v>8</v>
      </c>
      <c r="Q5" s="15" t="str">
        <f t="shared" si="2"/>
        <v/>
      </c>
      <c r="R5" s="15" t="str">
        <f t="shared" si="3"/>
        <v/>
      </c>
    </row>
    <row r="6" spans="1:18" ht="15" customHeight="1" x14ac:dyDescent="0.3">
      <c r="A6" s="24" t="s">
        <v>575</v>
      </c>
      <c r="B6" s="24">
        <f>COUNTIF(lab_task!$B$2:$B$121,$A6)</f>
        <v>60</v>
      </c>
      <c r="C6" s="24">
        <f>MIN(N$2:N$121)</f>
        <v>7.1</v>
      </c>
      <c r="D6" s="24">
        <f>QUARTILE(N$2:N$121,1)</f>
        <v>11.775</v>
      </c>
      <c r="E6" s="24">
        <f>MEDIAN(N$2:N$121)</f>
        <v>15.3</v>
      </c>
      <c r="F6" s="24">
        <f>QUARTILE(N$2:N$121,3)</f>
        <v>19.850000000000001</v>
      </c>
      <c r="G6" s="24">
        <f>MAX(N$2:N$121)</f>
        <v>44.7</v>
      </c>
      <c r="H6" s="24">
        <f>F6-D6</f>
        <v>8.0750000000000011</v>
      </c>
      <c r="I6" s="24">
        <f>D6-1.5*H6</f>
        <v>-0.33750000000000036</v>
      </c>
      <c r="J6" s="24">
        <f>F6+1.5*H6</f>
        <v>31.962500000000002</v>
      </c>
      <c r="K6" s="24">
        <f>MIN(Q$2:Q$121)</f>
        <v>7.1</v>
      </c>
      <c r="L6" s="24">
        <f>MAX(R$2:R$121)</f>
        <v>29.1</v>
      </c>
      <c r="M6" s="15">
        <f>IF(lab_task!$B$6=$A$5,lab_task!$C$6,"")</f>
        <v>15.1</v>
      </c>
      <c r="N6" s="15" t="str">
        <f>IF(lab_task!$B$6=$A$6,lab_task!$C$6,"")</f>
        <v/>
      </c>
      <c r="O6" s="15">
        <f t="shared" si="0"/>
        <v>15.1</v>
      </c>
      <c r="P6" s="15">
        <f t="shared" si="1"/>
        <v>15.1</v>
      </c>
      <c r="Q6" s="15" t="str">
        <f t="shared" si="2"/>
        <v/>
      </c>
      <c r="R6" s="15" t="str">
        <f t="shared" si="3"/>
        <v/>
      </c>
    </row>
    <row r="7" spans="1:18" ht="15" customHeight="1" x14ac:dyDescent="0.3">
      <c r="M7" s="15">
        <f>IF(lab_task!$B$7=$A$5,lab_task!$C$7,"")</f>
        <v>19.3</v>
      </c>
      <c r="N7" s="15" t="str">
        <f>IF(lab_task!$B$7=$A$6,lab_task!$C$7,"")</f>
        <v/>
      </c>
      <c r="O7" s="15">
        <f t="shared" si="0"/>
        <v>19.3</v>
      </c>
      <c r="P7" s="15">
        <f t="shared" si="1"/>
        <v>19.3</v>
      </c>
      <c r="Q7" s="15" t="str">
        <f t="shared" si="2"/>
        <v/>
      </c>
      <c r="R7" s="15" t="str">
        <f t="shared" si="3"/>
        <v/>
      </c>
    </row>
    <row r="8" spans="1:18" ht="15.75" customHeight="1" x14ac:dyDescent="0.3">
      <c r="A8" s="22" t="s">
        <v>779</v>
      </c>
      <c r="M8" s="15">
        <f>IF(lab_task!$B$8=$A$5,lab_task!$C$8,"")</f>
        <v>15.2</v>
      </c>
      <c r="N8" s="15" t="str">
        <f>IF(lab_task!$B$8=$A$6,lab_task!$C$8,"")</f>
        <v/>
      </c>
      <c r="O8" s="15">
        <f t="shared" si="0"/>
        <v>15.2</v>
      </c>
      <c r="P8" s="15">
        <f t="shared" si="1"/>
        <v>15.2</v>
      </c>
      <c r="Q8" s="15" t="str">
        <f t="shared" si="2"/>
        <v/>
      </c>
      <c r="R8" s="15" t="str">
        <f t="shared" si="3"/>
        <v/>
      </c>
    </row>
    <row r="9" spans="1:18" ht="25.5" customHeight="1" x14ac:dyDescent="0.3">
      <c r="A9" s="23" t="s">
        <v>771</v>
      </c>
      <c r="B9" s="23" t="s">
        <v>780</v>
      </c>
      <c r="C9" s="23" t="s">
        <v>781</v>
      </c>
      <c r="M9" s="15">
        <f>IF(lab_task!$B$9=$A$5,lab_task!$C$9,"")</f>
        <v>12.7</v>
      </c>
      <c r="N9" s="15" t="str">
        <f>IF(lab_task!$B$9=$A$6,lab_task!$C$9,"")</f>
        <v/>
      </c>
      <c r="O9" s="15">
        <f t="shared" si="0"/>
        <v>12.7</v>
      </c>
      <c r="P9" s="15">
        <f t="shared" si="1"/>
        <v>12.7</v>
      </c>
      <c r="Q9" s="15" t="str">
        <f t="shared" si="2"/>
        <v/>
      </c>
      <c r="R9" s="15" t="str">
        <f t="shared" si="3"/>
        <v/>
      </c>
    </row>
    <row r="10" spans="1:18" ht="15" customHeight="1" x14ac:dyDescent="0.3">
      <c r="A10" s="24" t="s">
        <v>514</v>
      </c>
      <c r="B10" s="24">
        <f>SUMPRODUCT((lab_task!$B$2:$B$121=$A10)*((lab_task!$C$2:$C$121&lt;$I$5)+(lab_task!$C$2:$C$121&gt;$J$5)))</f>
        <v>0</v>
      </c>
      <c r="C10" s="37" t="str">
        <f>IF(B10=0,"None",IF(B10=1,"1 outlier — see source data",TEXT(B10,"0")&amp;" outliers — see source data"))</f>
        <v>None</v>
      </c>
      <c r="M10" s="15">
        <f>IF(lab_task!$B$10=$A$5,lab_task!$C$10,"")</f>
        <v>18</v>
      </c>
      <c r="N10" s="15" t="str">
        <f>IF(lab_task!$B$10=$A$6,lab_task!$C$10,"")</f>
        <v/>
      </c>
      <c r="O10" s="15">
        <f t="shared" si="0"/>
        <v>18</v>
      </c>
      <c r="P10" s="15">
        <f t="shared" si="1"/>
        <v>18</v>
      </c>
      <c r="Q10" s="15" t="str">
        <f t="shared" si="2"/>
        <v/>
      </c>
      <c r="R10" s="15" t="str">
        <f t="shared" si="3"/>
        <v/>
      </c>
    </row>
    <row r="11" spans="1:18" ht="25.5" customHeight="1" x14ac:dyDescent="0.3">
      <c r="A11" s="24" t="s">
        <v>575</v>
      </c>
      <c r="B11" s="24">
        <f>SUMPRODUCT((lab_task!$B$2:$B$121=$A11)*((lab_task!$C$2:$C$121&lt;$I$6)+(lab_task!$C$2:$C$121&gt;$J$6)))</f>
        <v>3</v>
      </c>
      <c r="C11" s="37" t="str">
        <f>IF(B11=0,"None",IF(B11=1,"1 outlier — see source data",TEXT(B11,"0")&amp;" outliers — see source data"))</f>
        <v>3 outliers — see source data</v>
      </c>
      <c r="M11" s="15">
        <f>IF(lab_task!$B$11=$A$5,lab_task!$C$11,"")</f>
        <v>15</v>
      </c>
      <c r="N11" s="15" t="str">
        <f>IF(lab_task!$B$11=$A$6,lab_task!$C$11,"")</f>
        <v/>
      </c>
      <c r="O11" s="15">
        <f t="shared" si="0"/>
        <v>15</v>
      </c>
      <c r="P11" s="15">
        <f t="shared" si="1"/>
        <v>15</v>
      </c>
      <c r="Q11" s="15" t="str">
        <f t="shared" si="2"/>
        <v/>
      </c>
      <c r="R11" s="15" t="str">
        <f t="shared" si="3"/>
        <v/>
      </c>
    </row>
    <row r="12" spans="1:18" ht="75" customHeight="1" x14ac:dyDescent="0.3">
      <c r="A12" s="12" t="s">
        <v>782</v>
      </c>
      <c r="B12" s="12"/>
      <c r="C12" s="12"/>
      <c r="D12" s="12"/>
      <c r="E12" s="12"/>
      <c r="F12" s="12"/>
      <c r="G12" s="12"/>
      <c r="H12" s="12"/>
      <c r="M12" s="15">
        <f>IF(lab_task!$B$12=$A$5,lab_task!$C$12,"")</f>
        <v>15.2</v>
      </c>
      <c r="N12" s="15" t="str">
        <f>IF(lab_task!$B$12=$A$6,lab_task!$C$12,"")</f>
        <v/>
      </c>
      <c r="O12" s="15">
        <f t="shared" si="0"/>
        <v>15.2</v>
      </c>
      <c r="P12" s="15">
        <f t="shared" si="1"/>
        <v>15.2</v>
      </c>
      <c r="Q12" s="15" t="str">
        <f t="shared" si="2"/>
        <v/>
      </c>
      <c r="R12" s="15" t="str">
        <f t="shared" si="3"/>
        <v/>
      </c>
    </row>
    <row r="13" spans="1:18" ht="15" customHeight="1" x14ac:dyDescent="0.3">
      <c r="M13" s="15">
        <f>IF(lab_task!$B$13=$A$5,lab_task!$C$13,"")</f>
        <v>20</v>
      </c>
      <c r="N13" s="15" t="str">
        <f>IF(lab_task!$B$13=$A$6,lab_task!$C$13,"")</f>
        <v/>
      </c>
      <c r="O13" s="15">
        <f t="shared" si="0"/>
        <v>20</v>
      </c>
      <c r="P13" s="15">
        <f t="shared" si="1"/>
        <v>20</v>
      </c>
      <c r="Q13" s="15" t="str">
        <f t="shared" si="2"/>
        <v/>
      </c>
      <c r="R13" s="15" t="str">
        <f t="shared" si="3"/>
        <v/>
      </c>
    </row>
    <row r="14" spans="1:18" ht="15.75" customHeight="1" x14ac:dyDescent="0.3">
      <c r="A14" s="22" t="s">
        <v>783</v>
      </c>
      <c r="M14" s="15">
        <f>IF(lab_task!$B$14=$A$5,lab_task!$C$14,"")</f>
        <v>15.5</v>
      </c>
      <c r="N14" s="15" t="str">
        <f>IF(lab_task!$B$14=$A$6,lab_task!$C$14,"")</f>
        <v/>
      </c>
      <c r="O14" s="15">
        <f t="shared" si="0"/>
        <v>15.5</v>
      </c>
      <c r="P14" s="15">
        <f t="shared" si="1"/>
        <v>15.5</v>
      </c>
      <c r="Q14" s="15" t="str">
        <f t="shared" si="2"/>
        <v/>
      </c>
      <c r="R14" s="15" t="str">
        <f t="shared" si="3"/>
        <v/>
      </c>
    </row>
    <row r="15" spans="1:18" ht="25.5" customHeight="1" x14ac:dyDescent="0.3">
      <c r="A15" s="23" t="s">
        <v>771</v>
      </c>
      <c r="B15" s="23" t="s">
        <v>729</v>
      </c>
      <c r="C15" s="23" t="s">
        <v>784</v>
      </c>
      <c r="D15" s="23" t="s">
        <v>785</v>
      </c>
      <c r="E15" s="23" t="s">
        <v>786</v>
      </c>
      <c r="F15" s="23" t="s">
        <v>774</v>
      </c>
      <c r="M15" s="15">
        <f>IF(lab_task!$B$15=$A$5,lab_task!$C$15,"")</f>
        <v>12.1</v>
      </c>
      <c r="N15" s="15" t="str">
        <f>IF(lab_task!$B$15=$A$6,lab_task!$C$15,"")</f>
        <v/>
      </c>
      <c r="O15" s="15">
        <f t="shared" si="0"/>
        <v>12.1</v>
      </c>
      <c r="P15" s="15">
        <f t="shared" si="1"/>
        <v>12.1</v>
      </c>
      <c r="Q15" s="15" t="str">
        <f t="shared" si="2"/>
        <v/>
      </c>
      <c r="R15" s="15" t="str">
        <f t="shared" si="3"/>
        <v/>
      </c>
    </row>
    <row r="16" spans="1:18" ht="25.5" customHeight="1" x14ac:dyDescent="0.3">
      <c r="A16" s="24" t="s">
        <v>514</v>
      </c>
      <c r="B16" s="24">
        <f>E5</f>
        <v>13.850000000000001</v>
      </c>
      <c r="C16" s="24">
        <f>F5-E5</f>
        <v>1.8749999999999982</v>
      </c>
      <c r="D16" s="24">
        <f>E5-D5</f>
        <v>1.7750000000000021</v>
      </c>
      <c r="E16" s="24" t="str">
        <f>IF(C16&gt;D16,"Right-skewed",IF(C16&lt;D16,"Left-skewed","Symmetric"))</f>
        <v>Right-skewed</v>
      </c>
      <c r="F16" s="24">
        <f>H5</f>
        <v>3.6500000000000004</v>
      </c>
      <c r="M16" s="15">
        <f>IF(lab_task!$B$16=$A$5,lab_task!$C$16,"")</f>
        <v>11.5</v>
      </c>
      <c r="N16" s="15" t="str">
        <f>IF(lab_task!$B$16=$A$6,lab_task!$C$16,"")</f>
        <v/>
      </c>
      <c r="O16" s="15">
        <f t="shared" si="0"/>
        <v>11.5</v>
      </c>
      <c r="P16" s="15">
        <f t="shared" si="1"/>
        <v>11.5</v>
      </c>
      <c r="Q16" s="15" t="str">
        <f t="shared" si="2"/>
        <v/>
      </c>
      <c r="R16" s="15" t="str">
        <f t="shared" si="3"/>
        <v/>
      </c>
    </row>
    <row r="17" spans="1:18" ht="25.5" customHeight="1" x14ac:dyDescent="0.3">
      <c r="A17" s="24" t="s">
        <v>575</v>
      </c>
      <c r="B17" s="24">
        <f>E6</f>
        <v>15.3</v>
      </c>
      <c r="C17" s="24">
        <f>F6-E6</f>
        <v>4.5500000000000007</v>
      </c>
      <c r="D17" s="24">
        <f>E6-D6</f>
        <v>3.5250000000000004</v>
      </c>
      <c r="E17" s="24" t="str">
        <f>IF(C17&gt;D17,"Right-skewed",IF(C17&lt;D17,"Left-skewed","Symmetric"))</f>
        <v>Right-skewed</v>
      </c>
      <c r="F17" s="24">
        <f>H6</f>
        <v>8.0750000000000011</v>
      </c>
      <c r="M17" s="15">
        <f>IF(lab_task!$B$17=$A$5,lab_task!$C$17,"")</f>
        <v>17.399999999999999</v>
      </c>
      <c r="N17" s="15" t="str">
        <f>IF(lab_task!$B$17=$A$6,lab_task!$C$17,"")</f>
        <v/>
      </c>
      <c r="O17" s="15">
        <f t="shared" si="0"/>
        <v>17.399999999999999</v>
      </c>
      <c r="P17" s="15">
        <f t="shared" si="1"/>
        <v>17.399999999999999</v>
      </c>
      <c r="Q17" s="15" t="str">
        <f t="shared" si="2"/>
        <v/>
      </c>
      <c r="R17" s="15" t="str">
        <f t="shared" si="3"/>
        <v/>
      </c>
    </row>
    <row r="18" spans="1:18" ht="15" customHeight="1" x14ac:dyDescent="0.3">
      <c r="A18" s="13" t="s">
        <v>787</v>
      </c>
      <c r="B18" s="13"/>
      <c r="C18" s="13"/>
      <c r="D18" s="13"/>
      <c r="E18" s="25">
        <f>E6-E5</f>
        <v>1.4499999999999993</v>
      </c>
      <c r="M18" s="15">
        <f>IF(lab_task!$B$18=$A$5,lab_task!$C$18,"")</f>
        <v>9.1999999999999993</v>
      </c>
      <c r="N18" s="15" t="str">
        <f>IF(lab_task!$B$18=$A$6,lab_task!$C$18,"")</f>
        <v/>
      </c>
      <c r="O18" s="15">
        <f t="shared" si="0"/>
        <v>9.1999999999999993</v>
      </c>
      <c r="P18" s="15">
        <f t="shared" si="1"/>
        <v>9.1999999999999993</v>
      </c>
      <c r="Q18" s="15" t="str">
        <f t="shared" si="2"/>
        <v/>
      </c>
      <c r="R18" s="15" t="str">
        <f t="shared" si="3"/>
        <v/>
      </c>
    </row>
    <row r="19" spans="1:18" ht="94.5" customHeight="1" x14ac:dyDescent="0.3">
      <c r="A19" s="12" t="s">
        <v>788</v>
      </c>
      <c r="B19" s="12"/>
      <c r="C19" s="12"/>
      <c r="D19" s="12"/>
      <c r="E19" s="12"/>
      <c r="F19" s="12"/>
      <c r="G19" s="12"/>
      <c r="H19" s="12"/>
      <c r="M19" s="15">
        <f>IF(lab_task!$B$19=$A$5,lab_task!$C$19,"")</f>
        <v>12.5</v>
      </c>
      <c r="N19" s="15" t="str">
        <f>IF(lab_task!$B$19=$A$6,lab_task!$C$19,"")</f>
        <v/>
      </c>
      <c r="O19" s="15">
        <f t="shared" si="0"/>
        <v>12.5</v>
      </c>
      <c r="P19" s="15">
        <f t="shared" si="1"/>
        <v>12.5</v>
      </c>
      <c r="Q19" s="15" t="str">
        <f t="shared" si="2"/>
        <v/>
      </c>
      <c r="R19" s="15" t="str">
        <f t="shared" si="3"/>
        <v/>
      </c>
    </row>
    <row r="20" spans="1:18" ht="15" customHeight="1" x14ac:dyDescent="0.3">
      <c r="M20" s="15">
        <f>IF(lab_task!$B$20=$A$5,lab_task!$C$20,"")</f>
        <v>12</v>
      </c>
      <c r="N20" s="15" t="str">
        <f>IF(lab_task!$B$20=$A$6,lab_task!$C$20,"")</f>
        <v/>
      </c>
      <c r="O20" s="15">
        <f t="shared" si="0"/>
        <v>12</v>
      </c>
      <c r="P20" s="15">
        <f t="shared" si="1"/>
        <v>12</v>
      </c>
      <c r="Q20" s="15" t="str">
        <f t="shared" si="2"/>
        <v/>
      </c>
      <c r="R20" s="15" t="str">
        <f t="shared" si="3"/>
        <v/>
      </c>
    </row>
    <row r="21" spans="1:18" ht="15" customHeight="1" x14ac:dyDescent="0.3">
      <c r="M21" s="15">
        <f>IF(lab_task!$B$21=$A$5,lab_task!$C$21,"")</f>
        <v>17</v>
      </c>
      <c r="N21" s="15" t="str">
        <f>IF(lab_task!$B$21=$A$6,lab_task!$C$21,"")</f>
        <v/>
      </c>
      <c r="O21" s="15">
        <f t="shared" si="0"/>
        <v>17</v>
      </c>
      <c r="P21" s="15">
        <f t="shared" si="1"/>
        <v>17</v>
      </c>
      <c r="Q21" s="15" t="str">
        <f t="shared" si="2"/>
        <v/>
      </c>
      <c r="R21" s="15" t="str">
        <f t="shared" si="3"/>
        <v/>
      </c>
    </row>
    <row r="22" spans="1:18" ht="15" customHeight="1" x14ac:dyDescent="0.3">
      <c r="M22" s="15">
        <f>IF(lab_task!$B$22=$A$5,lab_task!$C$22,"")</f>
        <v>13.4</v>
      </c>
      <c r="N22" s="15" t="str">
        <f>IF(lab_task!$B$22=$A$6,lab_task!$C$22,"")</f>
        <v/>
      </c>
      <c r="O22" s="15">
        <f t="shared" si="0"/>
        <v>13.4</v>
      </c>
      <c r="P22" s="15">
        <f t="shared" si="1"/>
        <v>13.4</v>
      </c>
      <c r="Q22" s="15" t="str">
        <f t="shared" si="2"/>
        <v/>
      </c>
      <c r="R22" s="15" t="str">
        <f t="shared" si="3"/>
        <v/>
      </c>
    </row>
    <row r="23" spans="1:18" ht="15" customHeight="1" x14ac:dyDescent="0.3">
      <c r="M23" s="15">
        <f>IF(lab_task!$B$23=$A$5,lab_task!$C$23,"")</f>
        <v>14.6</v>
      </c>
      <c r="N23" s="15" t="str">
        <f>IF(lab_task!$B$23=$A$6,lab_task!$C$23,"")</f>
        <v/>
      </c>
      <c r="O23" s="15">
        <f t="shared" si="0"/>
        <v>14.6</v>
      </c>
      <c r="P23" s="15">
        <f t="shared" si="1"/>
        <v>14.6</v>
      </c>
      <c r="Q23" s="15" t="str">
        <f t="shared" si="2"/>
        <v/>
      </c>
      <c r="R23" s="15" t="str">
        <f t="shared" si="3"/>
        <v/>
      </c>
    </row>
    <row r="24" spans="1:18" ht="15" customHeight="1" x14ac:dyDescent="0.3">
      <c r="M24" s="15">
        <f>IF(lab_task!$B$24=$A$5,lab_task!$C$24,"")</f>
        <v>8.4</v>
      </c>
      <c r="N24" s="15" t="str">
        <f>IF(lab_task!$B$24=$A$6,lab_task!$C$24,"")</f>
        <v/>
      </c>
      <c r="O24" s="15">
        <f t="shared" si="0"/>
        <v>8.4</v>
      </c>
      <c r="P24" s="15">
        <f t="shared" si="1"/>
        <v>8.4</v>
      </c>
      <c r="Q24" s="15" t="str">
        <f t="shared" si="2"/>
        <v/>
      </c>
      <c r="R24" s="15" t="str">
        <f t="shared" si="3"/>
        <v/>
      </c>
    </row>
    <row r="25" spans="1:18" ht="15" customHeight="1" x14ac:dyDescent="0.3">
      <c r="M25" s="15">
        <f>IF(lab_task!$B$25=$A$5,lab_task!$C$25,"")</f>
        <v>12.5</v>
      </c>
      <c r="N25" s="15" t="str">
        <f>IF(lab_task!$B$25=$A$6,lab_task!$C$25,"")</f>
        <v/>
      </c>
      <c r="O25" s="15">
        <f t="shared" si="0"/>
        <v>12.5</v>
      </c>
      <c r="P25" s="15">
        <f t="shared" si="1"/>
        <v>12.5</v>
      </c>
      <c r="Q25" s="15" t="str">
        <f t="shared" si="2"/>
        <v/>
      </c>
      <c r="R25" s="15" t="str">
        <f t="shared" si="3"/>
        <v/>
      </c>
    </row>
    <row r="26" spans="1:18" ht="15" customHeight="1" x14ac:dyDescent="0.3">
      <c r="M26" s="15">
        <f>IF(lab_task!$B$26=$A$5,lab_task!$C$26,"")</f>
        <v>13.9</v>
      </c>
      <c r="N26" s="15" t="str">
        <f>IF(lab_task!$B$26=$A$6,lab_task!$C$26,"")</f>
        <v/>
      </c>
      <c r="O26" s="15">
        <f t="shared" si="0"/>
        <v>13.9</v>
      </c>
      <c r="P26" s="15">
        <f t="shared" si="1"/>
        <v>13.9</v>
      </c>
      <c r="Q26" s="15" t="str">
        <f t="shared" si="2"/>
        <v/>
      </c>
      <c r="R26" s="15" t="str">
        <f t="shared" si="3"/>
        <v/>
      </c>
    </row>
    <row r="27" spans="1:18" ht="15" customHeight="1" x14ac:dyDescent="0.3">
      <c r="M27" s="15">
        <f>IF(lab_task!$B$27=$A$5,lab_task!$C$27,"")</f>
        <v>13.9</v>
      </c>
      <c r="N27" s="15" t="str">
        <f>IF(lab_task!$B$27=$A$6,lab_task!$C$27,"")</f>
        <v/>
      </c>
      <c r="O27" s="15">
        <f t="shared" si="0"/>
        <v>13.9</v>
      </c>
      <c r="P27" s="15">
        <f t="shared" si="1"/>
        <v>13.9</v>
      </c>
      <c r="Q27" s="15" t="str">
        <f t="shared" si="2"/>
        <v/>
      </c>
      <c r="R27" s="15" t="str">
        <f t="shared" si="3"/>
        <v/>
      </c>
    </row>
    <row r="28" spans="1:18" ht="15" customHeight="1" x14ac:dyDescent="0.3">
      <c r="M28" s="15">
        <f>IF(lab_task!$B$28=$A$5,lab_task!$C$28,"")</f>
        <v>14</v>
      </c>
      <c r="N28" s="15" t="str">
        <f>IF(lab_task!$B$28=$A$6,lab_task!$C$28,"")</f>
        <v/>
      </c>
      <c r="O28" s="15">
        <f t="shared" si="0"/>
        <v>14</v>
      </c>
      <c r="P28" s="15">
        <f t="shared" si="1"/>
        <v>14</v>
      </c>
      <c r="Q28" s="15" t="str">
        <f t="shared" si="2"/>
        <v/>
      </c>
      <c r="R28" s="15" t="str">
        <f t="shared" si="3"/>
        <v/>
      </c>
    </row>
    <row r="29" spans="1:18" ht="15" customHeight="1" x14ac:dyDescent="0.3">
      <c r="M29" s="15">
        <f>IF(lab_task!$B$29=$A$5,lab_task!$C$29,"")</f>
        <v>15.8</v>
      </c>
      <c r="N29" s="15" t="str">
        <f>IF(lab_task!$B$29=$A$6,lab_task!$C$29,"")</f>
        <v/>
      </c>
      <c r="O29" s="15">
        <f t="shared" si="0"/>
        <v>15.8</v>
      </c>
      <c r="P29" s="15">
        <f t="shared" si="1"/>
        <v>15.8</v>
      </c>
      <c r="Q29" s="15" t="str">
        <f t="shared" si="2"/>
        <v/>
      </c>
      <c r="R29" s="15" t="str">
        <f t="shared" si="3"/>
        <v/>
      </c>
    </row>
    <row r="30" spans="1:18" ht="15" customHeight="1" x14ac:dyDescent="0.3">
      <c r="M30" s="15">
        <f>IF(lab_task!$B$30=$A$5,lab_task!$C$30,"")</f>
        <v>14.8</v>
      </c>
      <c r="N30" s="15" t="str">
        <f>IF(lab_task!$B$30=$A$6,lab_task!$C$30,"")</f>
        <v/>
      </c>
      <c r="O30" s="15">
        <f t="shared" si="0"/>
        <v>14.8</v>
      </c>
      <c r="P30" s="15">
        <f t="shared" si="1"/>
        <v>14.8</v>
      </c>
      <c r="Q30" s="15" t="str">
        <f t="shared" si="2"/>
        <v/>
      </c>
      <c r="R30" s="15" t="str">
        <f t="shared" si="3"/>
        <v/>
      </c>
    </row>
    <row r="31" spans="1:18" ht="15" customHeight="1" x14ac:dyDescent="0.3">
      <c r="M31" s="15">
        <f>IF(lab_task!$B$31=$A$5,lab_task!$C$31,"")</f>
        <v>18</v>
      </c>
      <c r="N31" s="15" t="str">
        <f>IF(lab_task!$B$31=$A$6,lab_task!$C$31,"")</f>
        <v/>
      </c>
      <c r="O31" s="15">
        <f t="shared" si="0"/>
        <v>18</v>
      </c>
      <c r="P31" s="15">
        <f t="shared" si="1"/>
        <v>18</v>
      </c>
      <c r="Q31" s="15" t="str">
        <f t="shared" si="2"/>
        <v/>
      </c>
      <c r="R31" s="15" t="str">
        <f t="shared" si="3"/>
        <v/>
      </c>
    </row>
    <row r="32" spans="1:18" ht="15" customHeight="1" x14ac:dyDescent="0.3">
      <c r="M32" s="15">
        <f>IF(lab_task!$B$32=$A$5,lab_task!$C$32,"")</f>
        <v>12.4</v>
      </c>
      <c r="N32" s="15" t="str">
        <f>IF(lab_task!$B$32=$A$6,lab_task!$C$32,"")</f>
        <v/>
      </c>
      <c r="O32" s="15">
        <f t="shared" si="0"/>
        <v>12.4</v>
      </c>
      <c r="P32" s="15">
        <f t="shared" si="1"/>
        <v>12.4</v>
      </c>
      <c r="Q32" s="15" t="str">
        <f t="shared" si="2"/>
        <v/>
      </c>
      <c r="R32" s="15" t="str">
        <f t="shared" si="3"/>
        <v/>
      </c>
    </row>
    <row r="33" spans="13:18" ht="15" customHeight="1" x14ac:dyDescent="0.3">
      <c r="M33" s="15">
        <f>IF(lab_task!$B$33=$A$5,lab_task!$C$33,"")</f>
        <v>13.6</v>
      </c>
      <c r="N33" s="15" t="str">
        <f>IF(lab_task!$B$33=$A$6,lab_task!$C$33,"")</f>
        <v/>
      </c>
      <c r="O33" s="15">
        <f t="shared" si="0"/>
        <v>13.6</v>
      </c>
      <c r="P33" s="15">
        <f t="shared" si="1"/>
        <v>13.6</v>
      </c>
      <c r="Q33" s="15" t="str">
        <f t="shared" si="2"/>
        <v/>
      </c>
      <c r="R33" s="15" t="str">
        <f t="shared" si="3"/>
        <v/>
      </c>
    </row>
    <row r="34" spans="13:18" ht="15" customHeight="1" x14ac:dyDescent="0.3">
      <c r="M34" s="15">
        <f>IF(lab_task!$B$34=$A$5,lab_task!$C$34,"")</f>
        <v>12.7</v>
      </c>
      <c r="N34" s="15" t="str">
        <f>IF(lab_task!$B$34=$A$6,lab_task!$C$34,"")</f>
        <v/>
      </c>
      <c r="O34" s="15">
        <f t="shared" ref="O34:O65" si="4">IF(AND(M34&lt;&gt;"",M34&gt;=$I$5),M34,"")</f>
        <v>12.7</v>
      </c>
      <c r="P34" s="15">
        <f t="shared" ref="P34:P65" si="5">IF(AND(M34&lt;&gt;"",M34&lt;=$J$5),M34,"")</f>
        <v>12.7</v>
      </c>
      <c r="Q34" s="15" t="str">
        <f t="shared" ref="Q34:Q65" si="6">IF(AND(N34&lt;&gt;"",N34&gt;=$I$6),N34,"")</f>
        <v/>
      </c>
      <c r="R34" s="15" t="str">
        <f t="shared" ref="R34:R65" si="7">IF(AND(N34&lt;&gt;"",N34&lt;=$J$6),N34,"")</f>
        <v/>
      </c>
    </row>
    <row r="35" spans="13:18" ht="15" customHeight="1" x14ac:dyDescent="0.3">
      <c r="M35" s="15">
        <f>IF(lab_task!$B$35=$A$5,lab_task!$C$35,"")</f>
        <v>18.7</v>
      </c>
      <c r="N35" s="15" t="str">
        <f>IF(lab_task!$B$35=$A$6,lab_task!$C$35,"")</f>
        <v/>
      </c>
      <c r="O35" s="15">
        <f t="shared" si="4"/>
        <v>18.7</v>
      </c>
      <c r="P35" s="15">
        <f t="shared" si="5"/>
        <v>18.7</v>
      </c>
      <c r="Q35" s="15" t="str">
        <f t="shared" si="6"/>
        <v/>
      </c>
      <c r="R35" s="15" t="str">
        <f t="shared" si="7"/>
        <v/>
      </c>
    </row>
    <row r="36" spans="13:18" ht="15" customHeight="1" x14ac:dyDescent="0.3">
      <c r="M36" s="15">
        <f>IF(lab_task!$B$36=$A$5,lab_task!$C$36,"")</f>
        <v>17.8</v>
      </c>
      <c r="N36" s="15" t="str">
        <f>IF(lab_task!$B$36=$A$6,lab_task!$C$36,"")</f>
        <v/>
      </c>
      <c r="O36" s="15">
        <f t="shared" si="4"/>
        <v>17.8</v>
      </c>
      <c r="P36" s="15">
        <f t="shared" si="5"/>
        <v>17.8</v>
      </c>
      <c r="Q36" s="15" t="str">
        <f t="shared" si="6"/>
        <v/>
      </c>
      <c r="R36" s="15" t="str">
        <f t="shared" si="7"/>
        <v/>
      </c>
    </row>
    <row r="37" spans="13:18" ht="15" customHeight="1" x14ac:dyDescent="0.3">
      <c r="M37" s="15">
        <f>IF(lab_task!$B$37=$A$5,lab_task!$C$37,"")</f>
        <v>10</v>
      </c>
      <c r="N37" s="15" t="str">
        <f>IF(lab_task!$B$37=$A$6,lab_task!$C$37,"")</f>
        <v/>
      </c>
      <c r="O37" s="15">
        <f t="shared" si="4"/>
        <v>10</v>
      </c>
      <c r="P37" s="15">
        <f t="shared" si="5"/>
        <v>10</v>
      </c>
      <c r="Q37" s="15" t="str">
        <f t="shared" si="6"/>
        <v/>
      </c>
      <c r="R37" s="15" t="str">
        <f t="shared" si="7"/>
        <v/>
      </c>
    </row>
    <row r="38" spans="13:18" ht="15" customHeight="1" x14ac:dyDescent="0.3">
      <c r="M38" s="15">
        <f>IF(lab_task!$B$38=$A$5,lab_task!$C$38,"")</f>
        <v>10.199999999999999</v>
      </c>
      <c r="N38" s="15" t="str">
        <f>IF(lab_task!$B$38=$A$6,lab_task!$C$38,"")</f>
        <v/>
      </c>
      <c r="O38" s="15">
        <f t="shared" si="4"/>
        <v>10.199999999999999</v>
      </c>
      <c r="P38" s="15">
        <f t="shared" si="5"/>
        <v>10.199999999999999</v>
      </c>
      <c r="Q38" s="15" t="str">
        <f t="shared" si="6"/>
        <v/>
      </c>
      <c r="R38" s="15" t="str">
        <f t="shared" si="7"/>
        <v/>
      </c>
    </row>
    <row r="39" spans="13:18" ht="15" customHeight="1" x14ac:dyDescent="0.3">
      <c r="M39" s="15">
        <f>IF(lab_task!$B$39=$A$5,lab_task!$C$39,"")</f>
        <v>16.7</v>
      </c>
      <c r="N39" s="15" t="str">
        <f>IF(lab_task!$B$39=$A$6,lab_task!$C$39,"")</f>
        <v/>
      </c>
      <c r="O39" s="15">
        <f t="shared" si="4"/>
        <v>16.7</v>
      </c>
      <c r="P39" s="15">
        <f t="shared" si="5"/>
        <v>16.7</v>
      </c>
      <c r="Q39" s="15" t="str">
        <f t="shared" si="6"/>
        <v/>
      </c>
      <c r="R39" s="15" t="str">
        <f t="shared" si="7"/>
        <v/>
      </c>
    </row>
    <row r="40" spans="13:18" ht="15" customHeight="1" x14ac:dyDescent="0.3">
      <c r="M40" s="15">
        <f>IF(lab_task!$B$40=$A$5,lab_task!$C$40,"")</f>
        <v>17.100000000000001</v>
      </c>
      <c r="N40" s="15" t="str">
        <f>IF(lab_task!$B$40=$A$6,lab_task!$C$40,"")</f>
        <v/>
      </c>
      <c r="O40" s="15">
        <f t="shared" si="4"/>
        <v>17.100000000000001</v>
      </c>
      <c r="P40" s="15">
        <f t="shared" si="5"/>
        <v>17.100000000000001</v>
      </c>
      <c r="Q40" s="15" t="str">
        <f t="shared" si="6"/>
        <v/>
      </c>
      <c r="R40" s="15" t="str">
        <f t="shared" si="7"/>
        <v/>
      </c>
    </row>
    <row r="41" spans="13:18" ht="15" customHeight="1" x14ac:dyDescent="0.3">
      <c r="M41" s="15">
        <f>IF(lab_task!$B$41=$A$5,lab_task!$C$41,"")</f>
        <v>15.6</v>
      </c>
      <c r="N41" s="15" t="str">
        <f>IF(lab_task!$B$41=$A$6,lab_task!$C$41,"")</f>
        <v/>
      </c>
      <c r="O41" s="15">
        <f t="shared" si="4"/>
        <v>15.6</v>
      </c>
      <c r="P41" s="15">
        <f t="shared" si="5"/>
        <v>15.6</v>
      </c>
      <c r="Q41" s="15" t="str">
        <f t="shared" si="6"/>
        <v/>
      </c>
      <c r="R41" s="15" t="str">
        <f t="shared" si="7"/>
        <v/>
      </c>
    </row>
    <row r="42" spans="13:18" ht="15" customHeight="1" x14ac:dyDescent="0.3">
      <c r="M42" s="15">
        <f>IF(lab_task!$B$42=$A$5,lab_task!$C$42,"")</f>
        <v>9.6</v>
      </c>
      <c r="N42" s="15" t="str">
        <f>IF(lab_task!$B$42=$A$6,lab_task!$C$42,"")</f>
        <v/>
      </c>
      <c r="O42" s="15">
        <f t="shared" si="4"/>
        <v>9.6</v>
      </c>
      <c r="P42" s="15">
        <f t="shared" si="5"/>
        <v>9.6</v>
      </c>
      <c r="Q42" s="15" t="str">
        <f t="shared" si="6"/>
        <v/>
      </c>
      <c r="R42" s="15" t="str">
        <f t="shared" si="7"/>
        <v/>
      </c>
    </row>
    <row r="43" spans="13:18" ht="15" customHeight="1" x14ac:dyDescent="0.3">
      <c r="M43" s="15">
        <f>IF(lab_task!$B$43=$A$5,lab_task!$C$43,"")</f>
        <v>12.3</v>
      </c>
      <c r="N43" s="15" t="str">
        <f>IF(lab_task!$B$43=$A$6,lab_task!$C$43,"")</f>
        <v/>
      </c>
      <c r="O43" s="15">
        <f t="shared" si="4"/>
        <v>12.3</v>
      </c>
      <c r="P43" s="15">
        <f t="shared" si="5"/>
        <v>12.3</v>
      </c>
      <c r="Q43" s="15" t="str">
        <f t="shared" si="6"/>
        <v/>
      </c>
      <c r="R43" s="15" t="str">
        <f t="shared" si="7"/>
        <v/>
      </c>
    </row>
    <row r="44" spans="13:18" ht="15" customHeight="1" x14ac:dyDescent="0.3">
      <c r="M44" s="15">
        <f>IF(lab_task!$B$44=$A$5,lab_task!$C$44,"")</f>
        <v>12</v>
      </c>
      <c r="N44" s="15" t="str">
        <f>IF(lab_task!$B$44=$A$6,lab_task!$C$44,"")</f>
        <v/>
      </c>
      <c r="O44" s="15">
        <f t="shared" si="4"/>
        <v>12</v>
      </c>
      <c r="P44" s="15">
        <f t="shared" si="5"/>
        <v>12</v>
      </c>
      <c r="Q44" s="15" t="str">
        <f t="shared" si="6"/>
        <v/>
      </c>
      <c r="R44" s="15" t="str">
        <f t="shared" si="7"/>
        <v/>
      </c>
    </row>
    <row r="45" spans="13:18" ht="15" customHeight="1" x14ac:dyDescent="0.3">
      <c r="M45" s="15">
        <f>IF(lab_task!$B$45=$A$5,lab_task!$C$45,"")</f>
        <v>13.2</v>
      </c>
      <c r="N45" s="15" t="str">
        <f>IF(lab_task!$B$45=$A$6,lab_task!$C$45,"")</f>
        <v/>
      </c>
      <c r="O45" s="15">
        <f t="shared" si="4"/>
        <v>13.2</v>
      </c>
      <c r="P45" s="15">
        <f t="shared" si="5"/>
        <v>13.2</v>
      </c>
      <c r="Q45" s="15" t="str">
        <f t="shared" si="6"/>
        <v/>
      </c>
      <c r="R45" s="15" t="str">
        <f t="shared" si="7"/>
        <v/>
      </c>
    </row>
    <row r="46" spans="13:18" ht="15" customHeight="1" x14ac:dyDescent="0.3">
      <c r="M46" s="15">
        <f>IF(lab_task!$B$46=$A$5,lab_task!$C$46,"")</f>
        <v>13.5</v>
      </c>
      <c r="N46" s="15" t="str">
        <f>IF(lab_task!$B$46=$A$6,lab_task!$C$46,"")</f>
        <v/>
      </c>
      <c r="O46" s="15">
        <f t="shared" si="4"/>
        <v>13.5</v>
      </c>
      <c r="P46" s="15">
        <f t="shared" si="5"/>
        <v>13.5</v>
      </c>
      <c r="Q46" s="15" t="str">
        <f t="shared" si="6"/>
        <v/>
      </c>
      <c r="R46" s="15" t="str">
        <f t="shared" si="7"/>
        <v/>
      </c>
    </row>
    <row r="47" spans="13:18" ht="15" customHeight="1" x14ac:dyDescent="0.3">
      <c r="M47" s="15">
        <f>IF(lab_task!$B$47=$A$5,lab_task!$C$47,"")</f>
        <v>9.1</v>
      </c>
      <c r="N47" s="15" t="str">
        <f>IF(lab_task!$B$47=$A$6,lab_task!$C$47,"")</f>
        <v/>
      </c>
      <c r="O47" s="15">
        <f t="shared" si="4"/>
        <v>9.1</v>
      </c>
      <c r="P47" s="15">
        <f t="shared" si="5"/>
        <v>9.1</v>
      </c>
      <c r="Q47" s="15" t="str">
        <f t="shared" si="6"/>
        <v/>
      </c>
      <c r="R47" s="15" t="str">
        <f t="shared" si="7"/>
        <v/>
      </c>
    </row>
    <row r="48" spans="13:18" ht="15" customHeight="1" x14ac:dyDescent="0.3">
      <c r="M48" s="15">
        <f>IF(lab_task!$B$48=$A$5,lab_task!$C$48,"")</f>
        <v>12</v>
      </c>
      <c r="N48" s="15" t="str">
        <f>IF(lab_task!$B$48=$A$6,lab_task!$C$48,"")</f>
        <v/>
      </c>
      <c r="O48" s="15">
        <f t="shared" si="4"/>
        <v>12</v>
      </c>
      <c r="P48" s="15">
        <f t="shared" si="5"/>
        <v>12</v>
      </c>
      <c r="Q48" s="15" t="str">
        <f t="shared" si="6"/>
        <v/>
      </c>
      <c r="R48" s="15" t="str">
        <f t="shared" si="7"/>
        <v/>
      </c>
    </row>
    <row r="49" spans="13:18" ht="15" customHeight="1" x14ac:dyDescent="0.3">
      <c r="M49" s="15">
        <f>IF(lab_task!$B$49=$A$5,lab_task!$C$49,"")</f>
        <v>12.4</v>
      </c>
      <c r="N49" s="15" t="str">
        <f>IF(lab_task!$B$49=$A$6,lab_task!$C$49,"")</f>
        <v/>
      </c>
      <c r="O49" s="15">
        <f t="shared" si="4"/>
        <v>12.4</v>
      </c>
      <c r="P49" s="15">
        <f t="shared" si="5"/>
        <v>12.4</v>
      </c>
      <c r="Q49" s="15" t="str">
        <f t="shared" si="6"/>
        <v/>
      </c>
      <c r="R49" s="15" t="str">
        <f t="shared" si="7"/>
        <v/>
      </c>
    </row>
    <row r="50" spans="13:18" ht="15" customHeight="1" x14ac:dyDescent="0.3">
      <c r="M50" s="15">
        <f>IF(lab_task!$B$50=$A$5,lab_task!$C$50,"")</f>
        <v>7.7</v>
      </c>
      <c r="N50" s="15" t="str">
        <f>IF(lab_task!$B$50=$A$6,lab_task!$C$50,"")</f>
        <v/>
      </c>
      <c r="O50" s="15">
        <f t="shared" si="4"/>
        <v>7.7</v>
      </c>
      <c r="P50" s="15">
        <f t="shared" si="5"/>
        <v>7.7</v>
      </c>
      <c r="Q50" s="15" t="str">
        <f t="shared" si="6"/>
        <v/>
      </c>
      <c r="R50" s="15" t="str">
        <f t="shared" si="7"/>
        <v/>
      </c>
    </row>
    <row r="51" spans="13:18" ht="15" customHeight="1" x14ac:dyDescent="0.3">
      <c r="M51" s="15">
        <f>IF(lab_task!$B$51=$A$5,lab_task!$C$51,"")</f>
        <v>19</v>
      </c>
      <c r="N51" s="15" t="str">
        <f>IF(lab_task!$B$51=$A$6,lab_task!$C$51,"")</f>
        <v/>
      </c>
      <c r="O51" s="15">
        <f t="shared" si="4"/>
        <v>19</v>
      </c>
      <c r="P51" s="15">
        <f t="shared" si="5"/>
        <v>19</v>
      </c>
      <c r="Q51" s="15" t="str">
        <f t="shared" si="6"/>
        <v/>
      </c>
      <c r="R51" s="15" t="str">
        <f t="shared" si="7"/>
        <v/>
      </c>
    </row>
    <row r="52" spans="13:18" ht="15" customHeight="1" x14ac:dyDescent="0.3">
      <c r="M52" s="15">
        <f>IF(lab_task!$B$52=$A$5,lab_task!$C$52,"")</f>
        <v>19</v>
      </c>
      <c r="N52" s="15" t="str">
        <f>IF(lab_task!$B$52=$A$6,lab_task!$C$52,"")</f>
        <v/>
      </c>
      <c r="O52" s="15">
        <f t="shared" si="4"/>
        <v>19</v>
      </c>
      <c r="P52" s="15">
        <f t="shared" si="5"/>
        <v>19</v>
      </c>
      <c r="Q52" s="15" t="str">
        <f t="shared" si="6"/>
        <v/>
      </c>
      <c r="R52" s="15" t="str">
        <f t="shared" si="7"/>
        <v/>
      </c>
    </row>
    <row r="53" spans="13:18" ht="15" customHeight="1" x14ac:dyDescent="0.3">
      <c r="M53" s="15">
        <f>IF(lab_task!$B$53=$A$5,lab_task!$C$53,"")</f>
        <v>11.5</v>
      </c>
      <c r="N53" s="15" t="str">
        <f>IF(lab_task!$B$53=$A$6,lab_task!$C$53,"")</f>
        <v/>
      </c>
      <c r="O53" s="15">
        <f t="shared" si="4"/>
        <v>11.5</v>
      </c>
      <c r="P53" s="15">
        <f t="shared" si="5"/>
        <v>11.5</v>
      </c>
      <c r="Q53" s="15" t="str">
        <f t="shared" si="6"/>
        <v/>
      </c>
      <c r="R53" s="15" t="str">
        <f t="shared" si="7"/>
        <v/>
      </c>
    </row>
    <row r="54" spans="13:18" ht="15" customHeight="1" x14ac:dyDescent="0.3">
      <c r="M54" s="15">
        <f>IF(lab_task!$B$54=$A$5,lab_task!$C$54,"")</f>
        <v>12.4</v>
      </c>
      <c r="N54" s="15" t="str">
        <f>IF(lab_task!$B$54=$A$6,lab_task!$C$54,"")</f>
        <v/>
      </c>
      <c r="O54" s="15">
        <f t="shared" si="4"/>
        <v>12.4</v>
      </c>
      <c r="P54" s="15">
        <f t="shared" si="5"/>
        <v>12.4</v>
      </c>
      <c r="Q54" s="15" t="str">
        <f t="shared" si="6"/>
        <v/>
      </c>
      <c r="R54" s="15" t="str">
        <f t="shared" si="7"/>
        <v/>
      </c>
    </row>
    <row r="55" spans="13:18" ht="15" customHeight="1" x14ac:dyDescent="0.3">
      <c r="M55" s="15">
        <f>IF(lab_task!$B$55=$A$5,lab_task!$C$55,"")</f>
        <v>12.5</v>
      </c>
      <c r="N55" s="15" t="str">
        <f>IF(lab_task!$B$55=$A$6,lab_task!$C$55,"")</f>
        <v/>
      </c>
      <c r="O55" s="15">
        <f t="shared" si="4"/>
        <v>12.5</v>
      </c>
      <c r="P55" s="15">
        <f t="shared" si="5"/>
        <v>12.5</v>
      </c>
      <c r="Q55" s="15" t="str">
        <f t="shared" si="6"/>
        <v/>
      </c>
      <c r="R55" s="15" t="str">
        <f t="shared" si="7"/>
        <v/>
      </c>
    </row>
    <row r="56" spans="13:18" ht="15" customHeight="1" x14ac:dyDescent="0.3">
      <c r="M56" s="15">
        <f>IF(lab_task!$B$56=$A$5,lab_task!$C$56,"")</f>
        <v>11.7</v>
      </c>
      <c r="N56" s="15" t="str">
        <f>IF(lab_task!$B$56=$A$6,lab_task!$C$56,"")</f>
        <v/>
      </c>
      <c r="O56" s="15">
        <f t="shared" si="4"/>
        <v>11.7</v>
      </c>
      <c r="P56" s="15">
        <f t="shared" si="5"/>
        <v>11.7</v>
      </c>
      <c r="Q56" s="15" t="str">
        <f t="shared" si="6"/>
        <v/>
      </c>
      <c r="R56" s="15" t="str">
        <f t="shared" si="7"/>
        <v/>
      </c>
    </row>
    <row r="57" spans="13:18" ht="15" customHeight="1" x14ac:dyDescent="0.3">
      <c r="M57" s="15">
        <f>IF(lab_task!$B$57=$A$5,lab_task!$C$57,"")</f>
        <v>15.7</v>
      </c>
      <c r="N57" s="15" t="str">
        <f>IF(lab_task!$B$57=$A$6,lab_task!$C$57,"")</f>
        <v/>
      </c>
      <c r="O57" s="15">
        <f t="shared" si="4"/>
        <v>15.7</v>
      </c>
      <c r="P57" s="15">
        <f t="shared" si="5"/>
        <v>15.7</v>
      </c>
      <c r="Q57" s="15" t="str">
        <f t="shared" si="6"/>
        <v/>
      </c>
      <c r="R57" s="15" t="str">
        <f t="shared" si="7"/>
        <v/>
      </c>
    </row>
    <row r="58" spans="13:18" ht="15" customHeight="1" x14ac:dyDescent="0.3">
      <c r="M58" s="15">
        <f>IF(lab_task!$B$58=$A$5,lab_task!$C$58,"")</f>
        <v>10.7</v>
      </c>
      <c r="N58" s="15" t="str">
        <f>IF(lab_task!$B$58=$A$6,lab_task!$C$58,"")</f>
        <v/>
      </c>
      <c r="O58" s="15">
        <f t="shared" si="4"/>
        <v>10.7</v>
      </c>
      <c r="P58" s="15">
        <f t="shared" si="5"/>
        <v>10.7</v>
      </c>
      <c r="Q58" s="15" t="str">
        <f t="shared" si="6"/>
        <v/>
      </c>
      <c r="R58" s="15" t="str">
        <f t="shared" si="7"/>
        <v/>
      </c>
    </row>
    <row r="59" spans="13:18" ht="15" customHeight="1" x14ac:dyDescent="0.3">
      <c r="M59" s="15">
        <f>IF(lab_task!$B$59=$A$5,lab_task!$C$59,"")</f>
        <v>16.8</v>
      </c>
      <c r="N59" s="15" t="str">
        <f>IF(lab_task!$B$59=$A$6,lab_task!$C$59,"")</f>
        <v/>
      </c>
      <c r="O59" s="15">
        <f t="shared" si="4"/>
        <v>16.8</v>
      </c>
      <c r="P59" s="15">
        <f t="shared" si="5"/>
        <v>16.8</v>
      </c>
      <c r="Q59" s="15" t="str">
        <f t="shared" si="6"/>
        <v/>
      </c>
      <c r="R59" s="15" t="str">
        <f t="shared" si="7"/>
        <v/>
      </c>
    </row>
    <row r="60" spans="13:18" ht="15" customHeight="1" x14ac:dyDescent="0.3">
      <c r="M60" s="15">
        <f>IF(lab_task!$B$60=$A$5,lab_task!$C$60,"")</f>
        <v>15.9</v>
      </c>
      <c r="N60" s="15" t="str">
        <f>IF(lab_task!$B$60=$A$6,lab_task!$C$60,"")</f>
        <v/>
      </c>
      <c r="O60" s="15">
        <f t="shared" si="4"/>
        <v>15.9</v>
      </c>
      <c r="P60" s="15">
        <f t="shared" si="5"/>
        <v>15.9</v>
      </c>
      <c r="Q60" s="15" t="str">
        <f t="shared" si="6"/>
        <v/>
      </c>
      <c r="R60" s="15" t="str">
        <f t="shared" si="7"/>
        <v/>
      </c>
    </row>
    <row r="61" spans="13:18" ht="15" customHeight="1" x14ac:dyDescent="0.3">
      <c r="M61" s="15">
        <f>IF(lab_task!$B$61=$A$5,lab_task!$C$61,"")</f>
        <v>14</v>
      </c>
      <c r="N61" s="15" t="str">
        <f>IF(lab_task!$B$61=$A$6,lab_task!$C$61,"")</f>
        <v/>
      </c>
      <c r="O61" s="15">
        <f t="shared" si="4"/>
        <v>14</v>
      </c>
      <c r="P61" s="15">
        <f t="shared" si="5"/>
        <v>14</v>
      </c>
      <c r="Q61" s="15" t="str">
        <f t="shared" si="6"/>
        <v/>
      </c>
      <c r="R61" s="15" t="str">
        <f t="shared" si="7"/>
        <v/>
      </c>
    </row>
    <row r="62" spans="13:18" ht="15" customHeight="1" x14ac:dyDescent="0.3">
      <c r="M62" s="15" t="str">
        <f>IF(lab_task!$B$62=$A$5,lab_task!$C$62,"")</f>
        <v/>
      </c>
      <c r="N62" s="15">
        <f>IF(lab_task!$B$62=$A$6,lab_task!$C$62,"")</f>
        <v>38.5</v>
      </c>
      <c r="O62" s="15" t="str">
        <f t="shared" si="4"/>
        <v/>
      </c>
      <c r="P62" s="15" t="str">
        <f t="shared" si="5"/>
        <v/>
      </c>
      <c r="Q62" s="15">
        <f t="shared" si="6"/>
        <v>38.5</v>
      </c>
      <c r="R62" s="15" t="str">
        <f t="shared" si="7"/>
        <v/>
      </c>
    </row>
    <row r="63" spans="13:18" ht="15" customHeight="1" x14ac:dyDescent="0.3">
      <c r="M63" s="15" t="str">
        <f>IF(lab_task!$B$63=$A$5,lab_task!$C$63,"")</f>
        <v/>
      </c>
      <c r="N63" s="15">
        <f>IF(lab_task!$B$63=$A$6,lab_task!$C$63,"")</f>
        <v>41</v>
      </c>
      <c r="O63" s="15" t="str">
        <f t="shared" si="4"/>
        <v/>
      </c>
      <c r="P63" s="15" t="str">
        <f t="shared" si="5"/>
        <v/>
      </c>
      <c r="Q63" s="15">
        <f t="shared" si="6"/>
        <v>41</v>
      </c>
      <c r="R63" s="15" t="str">
        <f t="shared" si="7"/>
        <v/>
      </c>
    </row>
    <row r="64" spans="13:18" ht="15" customHeight="1" x14ac:dyDescent="0.3">
      <c r="M64" s="15" t="str">
        <f>IF(lab_task!$B$64=$A$5,lab_task!$C$64,"")</f>
        <v/>
      </c>
      <c r="N64" s="15">
        <f>IF(lab_task!$B$64=$A$6,lab_task!$C$64,"")</f>
        <v>22.2</v>
      </c>
      <c r="O64" s="15" t="str">
        <f t="shared" si="4"/>
        <v/>
      </c>
      <c r="P64" s="15" t="str">
        <f t="shared" si="5"/>
        <v/>
      </c>
      <c r="Q64" s="15">
        <f t="shared" si="6"/>
        <v>22.2</v>
      </c>
      <c r="R64" s="15">
        <f t="shared" si="7"/>
        <v>22.2</v>
      </c>
    </row>
    <row r="65" spans="13:18" ht="15" customHeight="1" x14ac:dyDescent="0.3">
      <c r="M65" s="15" t="str">
        <f>IF(lab_task!$B$65=$A$5,lab_task!$C$65,"")</f>
        <v/>
      </c>
      <c r="N65" s="15">
        <f>IF(lab_task!$B$65=$A$6,lab_task!$C$65,"")</f>
        <v>10.1</v>
      </c>
      <c r="O65" s="15" t="str">
        <f t="shared" si="4"/>
        <v/>
      </c>
      <c r="P65" s="15" t="str">
        <f t="shared" si="5"/>
        <v/>
      </c>
      <c r="Q65" s="15">
        <f t="shared" si="6"/>
        <v>10.1</v>
      </c>
      <c r="R65" s="15">
        <f t="shared" si="7"/>
        <v>10.1</v>
      </c>
    </row>
    <row r="66" spans="13:18" ht="15" customHeight="1" x14ac:dyDescent="0.3">
      <c r="M66" s="15" t="str">
        <f>IF(lab_task!$B$66=$A$5,lab_task!$C$66,"")</f>
        <v/>
      </c>
      <c r="N66" s="15">
        <f>IF(lab_task!$B$66=$A$6,lab_task!$C$66,"")</f>
        <v>19</v>
      </c>
      <c r="O66" s="15" t="str">
        <f t="shared" ref="O66:O97" si="8">IF(AND(M66&lt;&gt;"",M66&gt;=$I$5),M66,"")</f>
        <v/>
      </c>
      <c r="P66" s="15" t="str">
        <f t="shared" ref="P66:P97" si="9">IF(AND(M66&lt;&gt;"",M66&lt;=$J$5),M66,"")</f>
        <v/>
      </c>
      <c r="Q66" s="15">
        <f t="shared" ref="Q66:Q97" si="10">IF(AND(N66&lt;&gt;"",N66&gt;=$I$6),N66,"")</f>
        <v>19</v>
      </c>
      <c r="R66" s="15">
        <f t="shared" ref="R66:R97" si="11">IF(AND(N66&lt;&gt;"",N66&lt;=$J$6),N66,"")</f>
        <v>19</v>
      </c>
    </row>
    <row r="67" spans="13:18" ht="15" customHeight="1" x14ac:dyDescent="0.3">
      <c r="M67" s="15" t="str">
        <f>IF(lab_task!$B$67=$A$5,lab_task!$C$67,"")</f>
        <v/>
      </c>
      <c r="N67" s="15">
        <f>IF(lab_task!$B$67=$A$6,lab_task!$C$67,"")</f>
        <v>29.1</v>
      </c>
      <c r="O67" s="15" t="str">
        <f t="shared" si="8"/>
        <v/>
      </c>
      <c r="P67" s="15" t="str">
        <f t="shared" si="9"/>
        <v/>
      </c>
      <c r="Q67" s="15">
        <f t="shared" si="10"/>
        <v>29.1</v>
      </c>
      <c r="R67" s="15">
        <f t="shared" si="11"/>
        <v>29.1</v>
      </c>
    </row>
    <row r="68" spans="13:18" ht="15" customHeight="1" x14ac:dyDescent="0.3">
      <c r="M68" s="15" t="str">
        <f>IF(lab_task!$B$68=$A$5,lab_task!$C$68,"")</f>
        <v/>
      </c>
      <c r="N68" s="15">
        <f>IF(lab_task!$B$68=$A$6,lab_task!$C$68,"")</f>
        <v>21.3</v>
      </c>
      <c r="O68" s="15" t="str">
        <f t="shared" si="8"/>
        <v/>
      </c>
      <c r="P68" s="15" t="str">
        <f t="shared" si="9"/>
        <v/>
      </c>
      <c r="Q68" s="15">
        <f t="shared" si="10"/>
        <v>21.3</v>
      </c>
      <c r="R68" s="15">
        <f t="shared" si="11"/>
        <v>21.3</v>
      </c>
    </row>
    <row r="69" spans="13:18" ht="15" customHeight="1" x14ac:dyDescent="0.3">
      <c r="M69" s="15" t="str">
        <f>IF(lab_task!$B$69=$A$5,lab_task!$C$69,"")</f>
        <v/>
      </c>
      <c r="N69" s="15">
        <f>IF(lab_task!$B$69=$A$6,lab_task!$C$69,"")</f>
        <v>11</v>
      </c>
      <c r="O69" s="15" t="str">
        <f t="shared" si="8"/>
        <v/>
      </c>
      <c r="P69" s="15" t="str">
        <f t="shared" si="9"/>
        <v/>
      </c>
      <c r="Q69" s="15">
        <f t="shared" si="10"/>
        <v>11</v>
      </c>
      <c r="R69" s="15">
        <f t="shared" si="11"/>
        <v>11</v>
      </c>
    </row>
    <row r="70" spans="13:18" ht="15" customHeight="1" x14ac:dyDescent="0.3">
      <c r="M70" s="15" t="str">
        <f>IF(lab_task!$B$70=$A$5,lab_task!$C$70,"")</f>
        <v/>
      </c>
      <c r="N70" s="15">
        <f>IF(lab_task!$B$70=$A$6,lab_task!$C$70,"")</f>
        <v>7.1</v>
      </c>
      <c r="O70" s="15" t="str">
        <f t="shared" si="8"/>
        <v/>
      </c>
      <c r="P70" s="15" t="str">
        <f t="shared" si="9"/>
        <v/>
      </c>
      <c r="Q70" s="15">
        <f t="shared" si="10"/>
        <v>7.1</v>
      </c>
      <c r="R70" s="15">
        <f t="shared" si="11"/>
        <v>7.1</v>
      </c>
    </row>
    <row r="71" spans="13:18" ht="15" customHeight="1" x14ac:dyDescent="0.3">
      <c r="M71" s="15" t="str">
        <f>IF(lab_task!$B$71=$A$5,lab_task!$C$71,"")</f>
        <v/>
      </c>
      <c r="N71" s="15">
        <f>IF(lab_task!$B$71=$A$6,lab_task!$C$71,"")</f>
        <v>15.1</v>
      </c>
      <c r="O71" s="15" t="str">
        <f t="shared" si="8"/>
        <v/>
      </c>
      <c r="P71" s="15" t="str">
        <f t="shared" si="9"/>
        <v/>
      </c>
      <c r="Q71" s="15">
        <f t="shared" si="10"/>
        <v>15.1</v>
      </c>
      <c r="R71" s="15">
        <f t="shared" si="11"/>
        <v>15.1</v>
      </c>
    </row>
    <row r="72" spans="13:18" ht="15" customHeight="1" x14ac:dyDescent="0.3">
      <c r="M72" s="15" t="str">
        <f>IF(lab_task!$B$72=$A$5,lab_task!$C$72,"")</f>
        <v/>
      </c>
      <c r="N72" s="15">
        <f>IF(lab_task!$B$72=$A$6,lab_task!$C$72,"")</f>
        <v>11</v>
      </c>
      <c r="O72" s="15" t="str">
        <f t="shared" si="8"/>
        <v/>
      </c>
      <c r="P72" s="15" t="str">
        <f t="shared" si="9"/>
        <v/>
      </c>
      <c r="Q72" s="15">
        <f t="shared" si="10"/>
        <v>11</v>
      </c>
      <c r="R72" s="15">
        <f t="shared" si="11"/>
        <v>11</v>
      </c>
    </row>
    <row r="73" spans="13:18" ht="15" customHeight="1" x14ac:dyDescent="0.3">
      <c r="M73" s="15" t="str">
        <f>IF(lab_task!$B$73=$A$5,lab_task!$C$73,"")</f>
        <v/>
      </c>
      <c r="N73" s="15">
        <f>IF(lab_task!$B$73=$A$6,lab_task!$C$73,"")</f>
        <v>9.1999999999999993</v>
      </c>
      <c r="O73" s="15" t="str">
        <f t="shared" si="8"/>
        <v/>
      </c>
      <c r="P73" s="15" t="str">
        <f t="shared" si="9"/>
        <v/>
      </c>
      <c r="Q73" s="15">
        <f t="shared" si="10"/>
        <v>9.1999999999999993</v>
      </c>
      <c r="R73" s="15">
        <f t="shared" si="11"/>
        <v>9.1999999999999993</v>
      </c>
    </row>
    <row r="74" spans="13:18" ht="15" customHeight="1" x14ac:dyDescent="0.3">
      <c r="M74" s="15" t="str">
        <f>IF(lab_task!$B$74=$A$5,lab_task!$C$74,"")</f>
        <v/>
      </c>
      <c r="N74" s="15">
        <f>IF(lab_task!$B$74=$A$6,lab_task!$C$74,"")</f>
        <v>19.5</v>
      </c>
      <c r="O74" s="15" t="str">
        <f t="shared" si="8"/>
        <v/>
      </c>
      <c r="P74" s="15" t="str">
        <f t="shared" si="9"/>
        <v/>
      </c>
      <c r="Q74" s="15">
        <f t="shared" si="10"/>
        <v>19.5</v>
      </c>
      <c r="R74" s="15">
        <f t="shared" si="11"/>
        <v>19.5</v>
      </c>
    </row>
    <row r="75" spans="13:18" ht="15" customHeight="1" x14ac:dyDescent="0.3">
      <c r="M75" s="15" t="str">
        <f>IF(lab_task!$B$75=$A$5,lab_task!$C$75,"")</f>
        <v/>
      </c>
      <c r="N75" s="15">
        <f>IF(lab_task!$B$75=$A$6,lab_task!$C$75,"")</f>
        <v>23.9</v>
      </c>
      <c r="O75" s="15" t="str">
        <f t="shared" si="8"/>
        <v/>
      </c>
      <c r="P75" s="15" t="str">
        <f t="shared" si="9"/>
        <v/>
      </c>
      <c r="Q75" s="15">
        <f t="shared" si="10"/>
        <v>23.9</v>
      </c>
      <c r="R75" s="15">
        <f t="shared" si="11"/>
        <v>23.9</v>
      </c>
    </row>
    <row r="76" spans="13:18" ht="15" customHeight="1" x14ac:dyDescent="0.3">
      <c r="M76" s="15" t="str">
        <f>IF(lab_task!$B$76=$A$5,lab_task!$C$76,"")</f>
        <v/>
      </c>
      <c r="N76" s="15">
        <f>IF(lab_task!$B$76=$A$6,lab_task!$C$76,"")</f>
        <v>15.6</v>
      </c>
      <c r="O76" s="15" t="str">
        <f t="shared" si="8"/>
        <v/>
      </c>
      <c r="P76" s="15" t="str">
        <f t="shared" si="9"/>
        <v/>
      </c>
      <c r="Q76" s="15">
        <f t="shared" si="10"/>
        <v>15.6</v>
      </c>
      <c r="R76" s="15">
        <f t="shared" si="11"/>
        <v>15.6</v>
      </c>
    </row>
    <row r="77" spans="13:18" ht="15" customHeight="1" x14ac:dyDescent="0.3">
      <c r="M77" s="15" t="str">
        <f>IF(lab_task!$B$77=$A$5,lab_task!$C$77,"")</f>
        <v/>
      </c>
      <c r="N77" s="15">
        <f>IF(lab_task!$B$77=$A$6,lab_task!$C$77,"")</f>
        <v>24.8</v>
      </c>
      <c r="O77" s="15" t="str">
        <f t="shared" si="8"/>
        <v/>
      </c>
      <c r="P77" s="15" t="str">
        <f t="shared" si="9"/>
        <v/>
      </c>
      <c r="Q77" s="15">
        <f t="shared" si="10"/>
        <v>24.8</v>
      </c>
      <c r="R77" s="15">
        <f t="shared" si="11"/>
        <v>24.8</v>
      </c>
    </row>
    <row r="78" spans="13:18" ht="15" customHeight="1" x14ac:dyDescent="0.3">
      <c r="M78" s="15" t="str">
        <f>IF(lab_task!$B$78=$A$5,lab_task!$C$78,"")</f>
        <v/>
      </c>
      <c r="N78" s="15">
        <f>IF(lab_task!$B$78=$A$6,lab_task!$C$78,"")</f>
        <v>44.7</v>
      </c>
      <c r="O78" s="15" t="str">
        <f t="shared" si="8"/>
        <v/>
      </c>
      <c r="P78" s="15" t="str">
        <f t="shared" si="9"/>
        <v/>
      </c>
      <c r="Q78" s="15">
        <f t="shared" si="10"/>
        <v>44.7</v>
      </c>
      <c r="R78" s="15" t="str">
        <f t="shared" si="11"/>
        <v/>
      </c>
    </row>
    <row r="79" spans="13:18" ht="15" customHeight="1" x14ac:dyDescent="0.3">
      <c r="M79" s="15" t="str">
        <f>IF(lab_task!$B$79=$A$5,lab_task!$C$79,"")</f>
        <v/>
      </c>
      <c r="N79" s="15">
        <f>IF(lab_task!$B$79=$A$6,lab_task!$C$79,"")</f>
        <v>18.600000000000001</v>
      </c>
      <c r="O79" s="15" t="str">
        <f t="shared" si="8"/>
        <v/>
      </c>
      <c r="P79" s="15" t="str">
        <f t="shared" si="9"/>
        <v/>
      </c>
      <c r="Q79" s="15">
        <f t="shared" si="10"/>
        <v>18.600000000000001</v>
      </c>
      <c r="R79" s="15">
        <f t="shared" si="11"/>
        <v>18.600000000000001</v>
      </c>
    </row>
    <row r="80" spans="13:18" ht="15" customHeight="1" x14ac:dyDescent="0.3">
      <c r="M80" s="15" t="str">
        <f>IF(lab_task!$B$80=$A$5,lab_task!$C$80,"")</f>
        <v/>
      </c>
      <c r="N80" s="15">
        <f>IF(lab_task!$B$80=$A$6,lab_task!$C$80,"")</f>
        <v>13.3</v>
      </c>
      <c r="O80" s="15" t="str">
        <f t="shared" si="8"/>
        <v/>
      </c>
      <c r="P80" s="15" t="str">
        <f t="shared" si="9"/>
        <v/>
      </c>
      <c r="Q80" s="15">
        <f t="shared" si="10"/>
        <v>13.3</v>
      </c>
      <c r="R80" s="15">
        <f t="shared" si="11"/>
        <v>13.3</v>
      </c>
    </row>
    <row r="81" spans="13:18" ht="15" customHeight="1" x14ac:dyDescent="0.3">
      <c r="M81" s="15" t="str">
        <f>IF(lab_task!$B$81=$A$5,lab_task!$C$81,"")</f>
        <v/>
      </c>
      <c r="N81" s="15">
        <f>IF(lab_task!$B$81=$A$6,lab_task!$C$81,"")</f>
        <v>11.8</v>
      </c>
      <c r="O81" s="15" t="str">
        <f t="shared" si="8"/>
        <v/>
      </c>
      <c r="P81" s="15" t="str">
        <f t="shared" si="9"/>
        <v/>
      </c>
      <c r="Q81" s="15">
        <f t="shared" si="10"/>
        <v>11.8</v>
      </c>
      <c r="R81" s="15">
        <f t="shared" si="11"/>
        <v>11.8</v>
      </c>
    </row>
    <row r="82" spans="13:18" ht="15" customHeight="1" x14ac:dyDescent="0.3">
      <c r="M82" s="15" t="str">
        <f>IF(lab_task!$B$82=$A$5,lab_task!$C$82,"")</f>
        <v/>
      </c>
      <c r="N82" s="15">
        <f>IF(lab_task!$B$82=$A$6,lab_task!$C$82,"")</f>
        <v>10.199999999999999</v>
      </c>
      <c r="O82" s="15" t="str">
        <f t="shared" si="8"/>
        <v/>
      </c>
      <c r="P82" s="15" t="str">
        <f t="shared" si="9"/>
        <v/>
      </c>
      <c r="Q82" s="15">
        <f t="shared" si="10"/>
        <v>10.199999999999999</v>
      </c>
      <c r="R82" s="15">
        <f t="shared" si="11"/>
        <v>10.199999999999999</v>
      </c>
    </row>
    <row r="83" spans="13:18" ht="15" customHeight="1" x14ac:dyDescent="0.3">
      <c r="M83" s="15" t="str">
        <f>IF(lab_task!$B$83=$A$5,lab_task!$C$83,"")</f>
        <v/>
      </c>
      <c r="N83" s="15">
        <f>IF(lab_task!$B$83=$A$6,lab_task!$C$83,"")</f>
        <v>21.8</v>
      </c>
      <c r="O83" s="15" t="str">
        <f t="shared" si="8"/>
        <v/>
      </c>
      <c r="P83" s="15" t="str">
        <f t="shared" si="9"/>
        <v/>
      </c>
      <c r="Q83" s="15">
        <f t="shared" si="10"/>
        <v>21.8</v>
      </c>
      <c r="R83" s="15">
        <f t="shared" si="11"/>
        <v>21.8</v>
      </c>
    </row>
    <row r="84" spans="13:18" ht="15" customHeight="1" x14ac:dyDescent="0.3">
      <c r="M84" s="15" t="str">
        <f>IF(lab_task!$B$84=$A$5,lab_task!$C$84,"")</f>
        <v/>
      </c>
      <c r="N84" s="15">
        <f>IF(lab_task!$B$84=$A$6,lab_task!$C$84,"")</f>
        <v>13.6</v>
      </c>
      <c r="O84" s="15" t="str">
        <f t="shared" si="8"/>
        <v/>
      </c>
      <c r="P84" s="15" t="str">
        <f t="shared" si="9"/>
        <v/>
      </c>
      <c r="Q84" s="15">
        <f t="shared" si="10"/>
        <v>13.6</v>
      </c>
      <c r="R84" s="15">
        <f t="shared" si="11"/>
        <v>13.6</v>
      </c>
    </row>
    <row r="85" spans="13:18" ht="15" customHeight="1" x14ac:dyDescent="0.3">
      <c r="M85" s="15" t="str">
        <f>IF(lab_task!$B$85=$A$5,lab_task!$C$85,"")</f>
        <v/>
      </c>
      <c r="N85" s="15">
        <f>IF(lab_task!$B$85=$A$6,lab_task!$C$85,"")</f>
        <v>15.4</v>
      </c>
      <c r="O85" s="15" t="str">
        <f t="shared" si="8"/>
        <v/>
      </c>
      <c r="P85" s="15" t="str">
        <f t="shared" si="9"/>
        <v/>
      </c>
      <c r="Q85" s="15">
        <f t="shared" si="10"/>
        <v>15.4</v>
      </c>
      <c r="R85" s="15">
        <f t="shared" si="11"/>
        <v>15.4</v>
      </c>
    </row>
    <row r="86" spans="13:18" ht="15" customHeight="1" x14ac:dyDescent="0.3">
      <c r="M86" s="15" t="str">
        <f>IF(lab_task!$B$86=$A$5,lab_task!$C$86,"")</f>
        <v/>
      </c>
      <c r="N86" s="15">
        <f>IF(lab_task!$B$86=$A$6,lab_task!$C$86,"")</f>
        <v>12.6</v>
      </c>
      <c r="O86" s="15" t="str">
        <f t="shared" si="8"/>
        <v/>
      </c>
      <c r="P86" s="15" t="str">
        <f t="shared" si="9"/>
        <v/>
      </c>
      <c r="Q86" s="15">
        <f t="shared" si="10"/>
        <v>12.6</v>
      </c>
      <c r="R86" s="15">
        <f t="shared" si="11"/>
        <v>12.6</v>
      </c>
    </row>
    <row r="87" spans="13:18" ht="15" customHeight="1" x14ac:dyDescent="0.3">
      <c r="M87" s="15" t="str">
        <f>IF(lab_task!$B$87=$A$5,lab_task!$C$87,"")</f>
        <v/>
      </c>
      <c r="N87" s="15">
        <f>IF(lab_task!$B$87=$A$6,lab_task!$C$87,"")</f>
        <v>13.7</v>
      </c>
      <c r="O87" s="15" t="str">
        <f t="shared" si="8"/>
        <v/>
      </c>
      <c r="P87" s="15" t="str">
        <f t="shared" si="9"/>
        <v/>
      </c>
      <c r="Q87" s="15">
        <f t="shared" si="10"/>
        <v>13.7</v>
      </c>
      <c r="R87" s="15">
        <f t="shared" si="11"/>
        <v>13.7</v>
      </c>
    </row>
    <row r="88" spans="13:18" ht="15" customHeight="1" x14ac:dyDescent="0.3">
      <c r="M88" s="15" t="str">
        <f>IF(lab_task!$B$88=$A$5,lab_task!$C$88,"")</f>
        <v/>
      </c>
      <c r="N88" s="15">
        <f>IF(lab_task!$B$88=$A$6,lab_task!$C$88,"")</f>
        <v>18.7</v>
      </c>
      <c r="O88" s="15" t="str">
        <f t="shared" si="8"/>
        <v/>
      </c>
      <c r="P88" s="15" t="str">
        <f t="shared" si="9"/>
        <v/>
      </c>
      <c r="Q88" s="15">
        <f t="shared" si="10"/>
        <v>18.7</v>
      </c>
      <c r="R88" s="15">
        <f t="shared" si="11"/>
        <v>18.7</v>
      </c>
    </row>
    <row r="89" spans="13:18" ht="15" customHeight="1" x14ac:dyDescent="0.3">
      <c r="M89" s="15" t="str">
        <f>IF(lab_task!$B$89=$A$5,lab_task!$C$89,"")</f>
        <v/>
      </c>
      <c r="N89" s="15">
        <f>IF(lab_task!$B$89=$A$6,lab_task!$C$89,"")</f>
        <v>10.3</v>
      </c>
      <c r="O89" s="15" t="str">
        <f t="shared" si="8"/>
        <v/>
      </c>
      <c r="P89" s="15" t="str">
        <f t="shared" si="9"/>
        <v/>
      </c>
      <c r="Q89" s="15">
        <f t="shared" si="10"/>
        <v>10.3</v>
      </c>
      <c r="R89" s="15">
        <f t="shared" si="11"/>
        <v>10.3</v>
      </c>
    </row>
    <row r="90" spans="13:18" ht="15" customHeight="1" x14ac:dyDescent="0.3">
      <c r="M90" s="15" t="str">
        <f>IF(lab_task!$B$90=$A$5,lab_task!$C$90,"")</f>
        <v/>
      </c>
      <c r="N90" s="15">
        <f>IF(lab_task!$B$90=$A$6,lab_task!$C$90,"")</f>
        <v>15.2</v>
      </c>
      <c r="O90" s="15" t="str">
        <f t="shared" si="8"/>
        <v/>
      </c>
      <c r="P90" s="15" t="str">
        <f t="shared" si="9"/>
        <v/>
      </c>
      <c r="Q90" s="15">
        <f t="shared" si="10"/>
        <v>15.2</v>
      </c>
      <c r="R90" s="15">
        <f t="shared" si="11"/>
        <v>15.2</v>
      </c>
    </row>
    <row r="91" spans="13:18" ht="15" customHeight="1" x14ac:dyDescent="0.3">
      <c r="M91" s="15" t="str">
        <f>IF(lab_task!$B$91=$A$5,lab_task!$C$91,"")</f>
        <v/>
      </c>
      <c r="N91" s="15">
        <f>IF(lab_task!$B$91=$A$6,lab_task!$C$91,"")</f>
        <v>16.5</v>
      </c>
      <c r="O91" s="15" t="str">
        <f t="shared" si="8"/>
        <v/>
      </c>
      <c r="P91" s="15" t="str">
        <f t="shared" si="9"/>
        <v/>
      </c>
      <c r="Q91" s="15">
        <f t="shared" si="10"/>
        <v>16.5</v>
      </c>
      <c r="R91" s="15">
        <f t="shared" si="11"/>
        <v>16.5</v>
      </c>
    </row>
    <row r="92" spans="13:18" ht="15" customHeight="1" x14ac:dyDescent="0.3">
      <c r="M92" s="15" t="str">
        <f>IF(lab_task!$B$92=$A$5,lab_task!$C$92,"")</f>
        <v/>
      </c>
      <c r="N92" s="15">
        <f>IF(lab_task!$B$92=$A$6,lab_task!$C$92,"")</f>
        <v>10.7</v>
      </c>
      <c r="O92" s="15" t="str">
        <f t="shared" si="8"/>
        <v/>
      </c>
      <c r="P92" s="15" t="str">
        <f t="shared" si="9"/>
        <v/>
      </c>
      <c r="Q92" s="15">
        <f t="shared" si="10"/>
        <v>10.7</v>
      </c>
      <c r="R92" s="15">
        <f t="shared" si="11"/>
        <v>10.7</v>
      </c>
    </row>
    <row r="93" spans="13:18" ht="15" customHeight="1" x14ac:dyDescent="0.3">
      <c r="M93" s="15" t="str">
        <f>IF(lab_task!$B$93=$A$5,lab_task!$C$93,"")</f>
        <v/>
      </c>
      <c r="N93" s="15">
        <f>IF(lab_task!$B$93=$A$6,lab_task!$C$93,"")</f>
        <v>26.3</v>
      </c>
      <c r="O93" s="15" t="str">
        <f t="shared" si="8"/>
        <v/>
      </c>
      <c r="P93" s="15" t="str">
        <f t="shared" si="9"/>
        <v/>
      </c>
      <c r="Q93" s="15">
        <f t="shared" si="10"/>
        <v>26.3</v>
      </c>
      <c r="R93" s="15">
        <f t="shared" si="11"/>
        <v>26.3</v>
      </c>
    </row>
    <row r="94" spans="13:18" ht="15" customHeight="1" x14ac:dyDescent="0.3">
      <c r="M94" s="15" t="str">
        <f>IF(lab_task!$B$94=$A$5,lab_task!$C$94,"")</f>
        <v/>
      </c>
      <c r="N94" s="15">
        <f>IF(lab_task!$B$94=$A$6,lab_task!$C$94,"")</f>
        <v>18.100000000000001</v>
      </c>
      <c r="O94" s="15" t="str">
        <f t="shared" si="8"/>
        <v/>
      </c>
      <c r="P94" s="15" t="str">
        <f t="shared" si="9"/>
        <v/>
      </c>
      <c r="Q94" s="15">
        <f t="shared" si="10"/>
        <v>18.100000000000001</v>
      </c>
      <c r="R94" s="15">
        <f t="shared" si="11"/>
        <v>18.100000000000001</v>
      </c>
    </row>
    <row r="95" spans="13:18" ht="15" customHeight="1" x14ac:dyDescent="0.3">
      <c r="M95" s="15" t="str">
        <f>IF(lab_task!$B$95=$A$5,lab_task!$C$95,"")</f>
        <v/>
      </c>
      <c r="N95" s="15">
        <f>IF(lab_task!$B$95=$A$6,lab_task!$C$95,"")</f>
        <v>19.8</v>
      </c>
      <c r="O95" s="15" t="str">
        <f t="shared" si="8"/>
        <v/>
      </c>
      <c r="P95" s="15" t="str">
        <f t="shared" si="9"/>
        <v/>
      </c>
      <c r="Q95" s="15">
        <f t="shared" si="10"/>
        <v>19.8</v>
      </c>
      <c r="R95" s="15">
        <f t="shared" si="11"/>
        <v>19.8</v>
      </c>
    </row>
    <row r="96" spans="13:18" ht="15" customHeight="1" x14ac:dyDescent="0.3">
      <c r="M96" s="15" t="str">
        <f>IF(lab_task!$B$96=$A$5,lab_task!$C$96,"")</f>
        <v/>
      </c>
      <c r="N96" s="15">
        <f>IF(lab_task!$B$96=$A$6,lab_task!$C$96,"")</f>
        <v>9.9</v>
      </c>
      <c r="O96" s="15" t="str">
        <f t="shared" si="8"/>
        <v/>
      </c>
      <c r="P96" s="15" t="str">
        <f t="shared" si="9"/>
        <v/>
      </c>
      <c r="Q96" s="15">
        <f t="shared" si="10"/>
        <v>9.9</v>
      </c>
      <c r="R96" s="15">
        <f t="shared" si="11"/>
        <v>9.9</v>
      </c>
    </row>
    <row r="97" spans="13:18" ht="15" customHeight="1" x14ac:dyDescent="0.3">
      <c r="M97" s="15" t="str">
        <f>IF(lab_task!$B$97=$A$5,lab_task!$C$97,"")</f>
        <v/>
      </c>
      <c r="N97" s="15">
        <f>IF(lab_task!$B$97=$A$6,lab_task!$C$97,"")</f>
        <v>12.2</v>
      </c>
      <c r="O97" s="15" t="str">
        <f t="shared" si="8"/>
        <v/>
      </c>
      <c r="P97" s="15" t="str">
        <f t="shared" si="9"/>
        <v/>
      </c>
      <c r="Q97" s="15">
        <f t="shared" si="10"/>
        <v>12.2</v>
      </c>
      <c r="R97" s="15">
        <f t="shared" si="11"/>
        <v>12.2</v>
      </c>
    </row>
    <row r="98" spans="13:18" ht="15" customHeight="1" x14ac:dyDescent="0.3">
      <c r="M98" s="15" t="str">
        <f>IF(lab_task!$B$98=$A$5,lab_task!$C$98,"")</f>
        <v/>
      </c>
      <c r="N98" s="15">
        <f>IF(lab_task!$B$98=$A$6,lab_task!$C$98,"")</f>
        <v>12.6</v>
      </c>
      <c r="O98" s="15" t="str">
        <f t="shared" ref="O98:O121" si="12">IF(AND(M98&lt;&gt;"",M98&gt;=$I$5),M98,"")</f>
        <v/>
      </c>
      <c r="P98" s="15" t="str">
        <f t="shared" ref="P98:P121" si="13">IF(AND(M98&lt;&gt;"",M98&lt;=$J$5),M98,"")</f>
        <v/>
      </c>
      <c r="Q98" s="15">
        <f t="shared" ref="Q98:Q121" si="14">IF(AND(N98&lt;&gt;"",N98&gt;=$I$6),N98,"")</f>
        <v>12.6</v>
      </c>
      <c r="R98" s="15">
        <f t="shared" ref="R98:R121" si="15">IF(AND(N98&lt;&gt;"",N98&lt;=$J$6),N98,"")</f>
        <v>12.6</v>
      </c>
    </row>
    <row r="99" spans="13:18" ht="15" customHeight="1" x14ac:dyDescent="0.3">
      <c r="M99" s="15" t="str">
        <f>IF(lab_task!$B$99=$A$5,lab_task!$C$99,"")</f>
        <v/>
      </c>
      <c r="N99" s="15">
        <f>IF(lab_task!$B$99=$A$6,lab_task!$C$99,"")</f>
        <v>16.5</v>
      </c>
      <c r="O99" s="15" t="str">
        <f t="shared" si="12"/>
        <v/>
      </c>
      <c r="P99" s="15" t="str">
        <f t="shared" si="13"/>
        <v/>
      </c>
      <c r="Q99" s="15">
        <f t="shared" si="14"/>
        <v>16.5</v>
      </c>
      <c r="R99" s="15">
        <f t="shared" si="15"/>
        <v>16.5</v>
      </c>
    </row>
    <row r="100" spans="13:18" ht="15" customHeight="1" x14ac:dyDescent="0.3">
      <c r="M100" s="15" t="str">
        <f>IF(lab_task!$B$100=$A$5,lab_task!$C$100,"")</f>
        <v/>
      </c>
      <c r="N100" s="15">
        <f>IF(lab_task!$B$100=$A$6,lab_task!$C$100,"")</f>
        <v>10.1</v>
      </c>
      <c r="O100" s="15" t="str">
        <f t="shared" si="12"/>
        <v/>
      </c>
      <c r="P100" s="15" t="str">
        <f t="shared" si="13"/>
        <v/>
      </c>
      <c r="Q100" s="15">
        <f t="shared" si="14"/>
        <v>10.1</v>
      </c>
      <c r="R100" s="15">
        <f t="shared" si="15"/>
        <v>10.1</v>
      </c>
    </row>
    <row r="101" spans="13:18" ht="15" customHeight="1" x14ac:dyDescent="0.3">
      <c r="M101" s="15" t="str">
        <f>IF(lab_task!$B$101=$A$5,lab_task!$C$101,"")</f>
        <v/>
      </c>
      <c r="N101" s="15">
        <f>IF(lab_task!$B$101=$A$6,lab_task!$C$101,"")</f>
        <v>23.5</v>
      </c>
      <c r="O101" s="15" t="str">
        <f t="shared" si="12"/>
        <v/>
      </c>
      <c r="P101" s="15" t="str">
        <f t="shared" si="13"/>
        <v/>
      </c>
      <c r="Q101" s="15">
        <f t="shared" si="14"/>
        <v>23.5</v>
      </c>
      <c r="R101" s="15">
        <f t="shared" si="15"/>
        <v>23.5</v>
      </c>
    </row>
    <row r="102" spans="13:18" ht="15" customHeight="1" x14ac:dyDescent="0.3">
      <c r="M102" s="15" t="str">
        <f>IF(lab_task!$B$102=$A$5,lab_task!$C$102,"")</f>
        <v/>
      </c>
      <c r="N102" s="15">
        <f>IF(lab_task!$B$102=$A$6,lab_task!$C$102,"")</f>
        <v>19.600000000000001</v>
      </c>
      <c r="O102" s="15" t="str">
        <f t="shared" si="12"/>
        <v/>
      </c>
      <c r="P102" s="15" t="str">
        <f t="shared" si="13"/>
        <v/>
      </c>
      <c r="Q102" s="15">
        <f t="shared" si="14"/>
        <v>19.600000000000001</v>
      </c>
      <c r="R102" s="15">
        <f t="shared" si="15"/>
        <v>19.600000000000001</v>
      </c>
    </row>
    <row r="103" spans="13:18" ht="15" customHeight="1" x14ac:dyDescent="0.3">
      <c r="M103" s="15" t="str">
        <f>IF(lab_task!$B$103=$A$5,lab_task!$C$103,"")</f>
        <v/>
      </c>
      <c r="N103" s="15">
        <f>IF(lab_task!$B$103=$A$6,lab_task!$C$103,"")</f>
        <v>14.6</v>
      </c>
      <c r="O103" s="15" t="str">
        <f t="shared" si="12"/>
        <v/>
      </c>
      <c r="P103" s="15" t="str">
        <f t="shared" si="13"/>
        <v/>
      </c>
      <c r="Q103" s="15">
        <f t="shared" si="14"/>
        <v>14.6</v>
      </c>
      <c r="R103" s="15">
        <f t="shared" si="15"/>
        <v>14.6</v>
      </c>
    </row>
    <row r="104" spans="13:18" ht="15" customHeight="1" x14ac:dyDescent="0.3">
      <c r="M104" s="15" t="str">
        <f>IF(lab_task!$B$104=$A$5,lab_task!$C$104,"")</f>
        <v/>
      </c>
      <c r="N104" s="15">
        <f>IF(lab_task!$B$104=$A$6,lab_task!$C$104,"")</f>
        <v>17</v>
      </c>
      <c r="O104" s="15" t="str">
        <f t="shared" si="12"/>
        <v/>
      </c>
      <c r="P104" s="15" t="str">
        <f t="shared" si="13"/>
        <v/>
      </c>
      <c r="Q104" s="15">
        <f t="shared" si="14"/>
        <v>17</v>
      </c>
      <c r="R104" s="15">
        <f t="shared" si="15"/>
        <v>17</v>
      </c>
    </row>
    <row r="105" spans="13:18" ht="15" customHeight="1" x14ac:dyDescent="0.3">
      <c r="M105" s="15" t="str">
        <f>IF(lab_task!$B$105=$A$5,lab_task!$C$105,"")</f>
        <v/>
      </c>
      <c r="N105" s="15">
        <f>IF(lab_task!$B$105=$A$6,lab_task!$C$105,"")</f>
        <v>7.7</v>
      </c>
      <c r="O105" s="15" t="str">
        <f t="shared" si="12"/>
        <v/>
      </c>
      <c r="P105" s="15" t="str">
        <f t="shared" si="13"/>
        <v/>
      </c>
      <c r="Q105" s="15">
        <f t="shared" si="14"/>
        <v>7.7</v>
      </c>
      <c r="R105" s="15">
        <f t="shared" si="15"/>
        <v>7.7</v>
      </c>
    </row>
    <row r="106" spans="13:18" ht="15" customHeight="1" x14ac:dyDescent="0.3">
      <c r="M106" s="15" t="str">
        <f>IF(lab_task!$B$106=$A$5,lab_task!$C$106,"")</f>
        <v/>
      </c>
      <c r="N106" s="15">
        <f>IF(lab_task!$B$106=$A$6,lab_task!$C$106,"")</f>
        <v>13.6</v>
      </c>
      <c r="O106" s="15" t="str">
        <f t="shared" si="12"/>
        <v/>
      </c>
      <c r="P106" s="15" t="str">
        <f t="shared" si="13"/>
        <v/>
      </c>
      <c r="Q106" s="15">
        <f t="shared" si="14"/>
        <v>13.6</v>
      </c>
      <c r="R106" s="15">
        <f t="shared" si="15"/>
        <v>13.6</v>
      </c>
    </row>
    <row r="107" spans="13:18" ht="15" customHeight="1" x14ac:dyDescent="0.3">
      <c r="M107" s="15" t="str">
        <f>IF(lab_task!$B$107=$A$5,lab_task!$C$107,"")</f>
        <v/>
      </c>
      <c r="N107" s="15">
        <f>IF(lab_task!$B$107=$A$6,lab_task!$C$107,"")</f>
        <v>13.4</v>
      </c>
      <c r="O107" s="15" t="str">
        <f t="shared" si="12"/>
        <v/>
      </c>
      <c r="P107" s="15" t="str">
        <f t="shared" si="13"/>
        <v/>
      </c>
      <c r="Q107" s="15">
        <f t="shared" si="14"/>
        <v>13.4</v>
      </c>
      <c r="R107" s="15">
        <f t="shared" si="15"/>
        <v>13.4</v>
      </c>
    </row>
    <row r="108" spans="13:18" ht="15" customHeight="1" x14ac:dyDescent="0.3">
      <c r="M108" s="15" t="str">
        <f>IF(lab_task!$B$108=$A$5,lab_task!$C$108,"")</f>
        <v/>
      </c>
      <c r="N108" s="15">
        <f>IF(lab_task!$B$108=$A$6,lab_task!$C$108,"")</f>
        <v>10.7</v>
      </c>
      <c r="O108" s="15" t="str">
        <f t="shared" si="12"/>
        <v/>
      </c>
      <c r="P108" s="15" t="str">
        <f t="shared" si="13"/>
        <v/>
      </c>
      <c r="Q108" s="15">
        <f t="shared" si="14"/>
        <v>10.7</v>
      </c>
      <c r="R108" s="15">
        <f t="shared" si="15"/>
        <v>10.7</v>
      </c>
    </row>
    <row r="109" spans="13:18" ht="15" customHeight="1" x14ac:dyDescent="0.3">
      <c r="M109" s="15" t="str">
        <f>IF(lab_task!$B$109=$A$5,lab_task!$C$109,"")</f>
        <v/>
      </c>
      <c r="N109" s="15">
        <f>IF(lab_task!$B$109=$A$6,lab_task!$C$109,"")</f>
        <v>12.4</v>
      </c>
      <c r="O109" s="15" t="str">
        <f t="shared" si="12"/>
        <v/>
      </c>
      <c r="P109" s="15" t="str">
        <f t="shared" si="13"/>
        <v/>
      </c>
      <c r="Q109" s="15">
        <f t="shared" si="14"/>
        <v>12.4</v>
      </c>
      <c r="R109" s="15">
        <f t="shared" si="15"/>
        <v>12.4</v>
      </c>
    </row>
    <row r="110" spans="13:18" ht="15" customHeight="1" x14ac:dyDescent="0.3">
      <c r="M110" s="15" t="str">
        <f>IF(lab_task!$B$110=$A$5,lab_task!$C$110,"")</f>
        <v/>
      </c>
      <c r="N110" s="15">
        <f>IF(lab_task!$B$110=$A$6,lab_task!$C$110,"")</f>
        <v>11.4</v>
      </c>
      <c r="O110" s="15" t="str">
        <f t="shared" si="12"/>
        <v/>
      </c>
      <c r="P110" s="15" t="str">
        <f t="shared" si="13"/>
        <v/>
      </c>
      <c r="Q110" s="15">
        <f t="shared" si="14"/>
        <v>11.4</v>
      </c>
      <c r="R110" s="15">
        <f t="shared" si="15"/>
        <v>11.4</v>
      </c>
    </row>
    <row r="111" spans="13:18" ht="15" customHeight="1" x14ac:dyDescent="0.3">
      <c r="M111" s="15" t="str">
        <f>IF(lab_task!$B$111=$A$5,lab_task!$C$111,"")</f>
        <v/>
      </c>
      <c r="N111" s="15">
        <f>IF(lab_task!$B$111=$A$6,lab_task!$C$111,"")</f>
        <v>20</v>
      </c>
      <c r="O111" s="15" t="str">
        <f t="shared" si="12"/>
        <v/>
      </c>
      <c r="P111" s="15" t="str">
        <f t="shared" si="13"/>
        <v/>
      </c>
      <c r="Q111" s="15">
        <f t="shared" si="14"/>
        <v>20</v>
      </c>
      <c r="R111" s="15">
        <f t="shared" si="15"/>
        <v>20</v>
      </c>
    </row>
    <row r="112" spans="13:18" ht="15" customHeight="1" x14ac:dyDescent="0.3">
      <c r="M112" s="15" t="str">
        <f>IF(lab_task!$B$112=$A$5,lab_task!$C$112,"")</f>
        <v/>
      </c>
      <c r="N112" s="15">
        <f>IF(lab_task!$B$112=$A$6,lab_task!$C$112,"")</f>
        <v>19.8</v>
      </c>
      <c r="O112" s="15" t="str">
        <f t="shared" si="12"/>
        <v/>
      </c>
      <c r="P112" s="15" t="str">
        <f t="shared" si="13"/>
        <v/>
      </c>
      <c r="Q112" s="15">
        <f t="shared" si="14"/>
        <v>19.8</v>
      </c>
      <c r="R112" s="15">
        <f t="shared" si="15"/>
        <v>19.8</v>
      </c>
    </row>
    <row r="113" spans="13:18" ht="15" customHeight="1" x14ac:dyDescent="0.3">
      <c r="M113" s="15" t="str">
        <f>IF(lab_task!$B$113=$A$5,lab_task!$C$113,"")</f>
        <v/>
      </c>
      <c r="N113" s="15">
        <f>IF(lab_task!$B$113=$A$6,lab_task!$C$113,"")</f>
        <v>15</v>
      </c>
      <c r="O113" s="15" t="str">
        <f t="shared" si="12"/>
        <v/>
      </c>
      <c r="P113" s="15" t="str">
        <f t="shared" si="13"/>
        <v/>
      </c>
      <c r="Q113" s="15">
        <f t="shared" si="14"/>
        <v>15</v>
      </c>
      <c r="R113" s="15">
        <f t="shared" si="15"/>
        <v>15</v>
      </c>
    </row>
    <row r="114" spans="13:18" ht="15" customHeight="1" x14ac:dyDescent="0.3">
      <c r="M114" s="15" t="str">
        <f>IF(lab_task!$B$114=$A$5,lab_task!$C$114,"")</f>
        <v/>
      </c>
      <c r="N114" s="15">
        <f>IF(lab_task!$B$114=$A$6,lab_task!$C$114,"")</f>
        <v>17</v>
      </c>
      <c r="O114" s="15" t="str">
        <f t="shared" si="12"/>
        <v/>
      </c>
      <c r="P114" s="15" t="str">
        <f t="shared" si="13"/>
        <v/>
      </c>
      <c r="Q114" s="15">
        <f t="shared" si="14"/>
        <v>17</v>
      </c>
      <c r="R114" s="15">
        <f t="shared" si="15"/>
        <v>17</v>
      </c>
    </row>
    <row r="115" spans="13:18" ht="15" customHeight="1" x14ac:dyDescent="0.3">
      <c r="M115" s="15" t="str">
        <f>IF(lab_task!$B$115=$A$5,lab_task!$C$115,"")</f>
        <v/>
      </c>
      <c r="N115" s="15">
        <f>IF(lab_task!$B$115=$A$6,lab_task!$C$115,"")</f>
        <v>14.9</v>
      </c>
      <c r="O115" s="15" t="str">
        <f t="shared" si="12"/>
        <v/>
      </c>
      <c r="P115" s="15" t="str">
        <f t="shared" si="13"/>
        <v/>
      </c>
      <c r="Q115" s="15">
        <f t="shared" si="14"/>
        <v>14.9</v>
      </c>
      <c r="R115" s="15">
        <f t="shared" si="15"/>
        <v>14.9</v>
      </c>
    </row>
    <row r="116" spans="13:18" ht="15" customHeight="1" x14ac:dyDescent="0.3">
      <c r="M116" s="15" t="str">
        <f>IF(lab_task!$B$116=$A$5,lab_task!$C$116,"")</f>
        <v/>
      </c>
      <c r="N116" s="15">
        <f>IF(lab_task!$B$116=$A$6,lab_task!$C$116,"")</f>
        <v>22.3</v>
      </c>
      <c r="O116" s="15" t="str">
        <f t="shared" si="12"/>
        <v/>
      </c>
      <c r="P116" s="15" t="str">
        <f t="shared" si="13"/>
        <v/>
      </c>
      <c r="Q116" s="15">
        <f t="shared" si="14"/>
        <v>22.3</v>
      </c>
      <c r="R116" s="15">
        <f t="shared" si="15"/>
        <v>22.3</v>
      </c>
    </row>
    <row r="117" spans="13:18" ht="15" customHeight="1" x14ac:dyDescent="0.3">
      <c r="M117" s="15" t="str">
        <f>IF(lab_task!$B$117=$A$5,lab_task!$C$117,"")</f>
        <v/>
      </c>
      <c r="N117" s="15">
        <f>IF(lab_task!$B$117=$A$6,lab_task!$C$117,"")</f>
        <v>17.2</v>
      </c>
      <c r="O117" s="15" t="str">
        <f t="shared" si="12"/>
        <v/>
      </c>
      <c r="P117" s="15" t="str">
        <f t="shared" si="13"/>
        <v/>
      </c>
      <c r="Q117" s="15">
        <f t="shared" si="14"/>
        <v>17.2</v>
      </c>
      <c r="R117" s="15">
        <f t="shared" si="15"/>
        <v>17.2</v>
      </c>
    </row>
    <row r="118" spans="13:18" ht="15" customHeight="1" x14ac:dyDescent="0.3">
      <c r="M118" s="15" t="str">
        <f>IF(lab_task!$B$118=$A$5,lab_task!$C$118,"")</f>
        <v/>
      </c>
      <c r="N118" s="15">
        <f>IF(lab_task!$B$118=$A$6,lab_task!$C$118,"")</f>
        <v>11.2</v>
      </c>
      <c r="O118" s="15" t="str">
        <f t="shared" si="12"/>
        <v/>
      </c>
      <c r="P118" s="15" t="str">
        <f t="shared" si="13"/>
        <v/>
      </c>
      <c r="Q118" s="15">
        <f t="shared" si="14"/>
        <v>11.2</v>
      </c>
      <c r="R118" s="15">
        <f t="shared" si="15"/>
        <v>11.2</v>
      </c>
    </row>
    <row r="119" spans="13:18" ht="15" customHeight="1" x14ac:dyDescent="0.3">
      <c r="M119" s="15" t="str">
        <f>IF(lab_task!$B$119=$A$5,lab_task!$C$119,"")</f>
        <v/>
      </c>
      <c r="N119" s="15">
        <f>IF(lab_task!$B$119=$A$6,lab_task!$C$119,"")</f>
        <v>28.1</v>
      </c>
      <c r="O119" s="15" t="str">
        <f t="shared" si="12"/>
        <v/>
      </c>
      <c r="P119" s="15" t="str">
        <f t="shared" si="13"/>
        <v/>
      </c>
      <c r="Q119" s="15">
        <f t="shared" si="14"/>
        <v>28.1</v>
      </c>
      <c r="R119" s="15">
        <f t="shared" si="15"/>
        <v>28.1</v>
      </c>
    </row>
    <row r="120" spans="13:18" ht="15" customHeight="1" x14ac:dyDescent="0.3">
      <c r="M120" s="15" t="str">
        <f>IF(lab_task!$B$120=$A$5,lab_task!$C$120,"")</f>
        <v/>
      </c>
      <c r="N120" s="15">
        <f>IF(lab_task!$B$120=$A$6,lab_task!$C$120,"")</f>
        <v>28.7</v>
      </c>
      <c r="O120" s="15" t="str">
        <f t="shared" si="12"/>
        <v/>
      </c>
      <c r="P120" s="15" t="str">
        <f t="shared" si="13"/>
        <v/>
      </c>
      <c r="Q120" s="15">
        <f t="shared" si="14"/>
        <v>28.7</v>
      </c>
      <c r="R120" s="15">
        <f t="shared" si="15"/>
        <v>28.7</v>
      </c>
    </row>
    <row r="121" spans="13:18" ht="15" customHeight="1" x14ac:dyDescent="0.3">
      <c r="M121" s="15" t="str">
        <f>IF(lab_task!$B$121=$A$5,lab_task!$C$121,"")</f>
        <v/>
      </c>
      <c r="N121" s="15">
        <f>IF(lab_task!$B$121=$A$6,lab_task!$C$121,"")</f>
        <v>11.7</v>
      </c>
      <c r="O121" s="15" t="str">
        <f t="shared" si="12"/>
        <v/>
      </c>
      <c r="P121" s="15" t="str">
        <f t="shared" si="13"/>
        <v/>
      </c>
      <c r="Q121" s="15">
        <f t="shared" si="14"/>
        <v>11.7</v>
      </c>
      <c r="R121" s="15">
        <f t="shared" si="15"/>
        <v>11.7</v>
      </c>
    </row>
  </sheetData>
  <mergeCells count="4">
    <mergeCell ref="A1:H1"/>
    <mergeCell ref="A12:H12"/>
    <mergeCell ref="A18:D18"/>
    <mergeCell ref="A19:H19"/>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
  <sheetViews>
    <sheetView showGridLines="0" zoomScaleNormal="100" workbookViewId="0"/>
  </sheetViews>
  <sheetFormatPr defaultColWidth="8.6640625" defaultRowHeight="14.4" x14ac:dyDescent="0.3"/>
  <cols>
    <col min="1" max="2" width="24" style="15" customWidth="1"/>
    <col min="3" max="3" width="14" style="15" customWidth="1"/>
    <col min="4" max="4" width="15" style="15" customWidth="1"/>
    <col min="5" max="6" width="14" style="15" customWidth="1"/>
    <col min="7" max="7" width="30" style="15" customWidth="1"/>
    <col min="8" max="8" width="58" style="15" customWidth="1"/>
  </cols>
  <sheetData>
    <row r="1" spans="1:8" ht="31.5" customHeight="1" x14ac:dyDescent="0.3">
      <c r="A1" s="4" t="s">
        <v>789</v>
      </c>
      <c r="B1" s="4"/>
      <c r="C1" s="4"/>
      <c r="D1" s="4"/>
      <c r="E1" s="4"/>
      <c r="F1" s="4"/>
      <c r="G1" s="4"/>
      <c r="H1" s="4"/>
    </row>
    <row r="2" spans="1:8" ht="30" customHeight="1" x14ac:dyDescent="0.3">
      <c r="A2" s="3" t="s">
        <v>790</v>
      </c>
      <c r="B2" s="3"/>
      <c r="C2" s="3"/>
      <c r="D2" s="3"/>
      <c r="E2" s="3"/>
      <c r="F2" s="3"/>
      <c r="G2" s="3"/>
      <c r="H2" s="3"/>
    </row>
    <row r="3" spans="1:8" ht="14.25" customHeight="1" x14ac:dyDescent="0.3"/>
    <row r="4" spans="1:8" ht="22.5" customHeight="1" x14ac:dyDescent="0.3">
      <c r="A4" s="2" t="s">
        <v>791</v>
      </c>
      <c r="B4" s="2"/>
      <c r="C4" s="2"/>
      <c r="D4" s="2"/>
      <c r="E4" s="2"/>
      <c r="F4" s="2"/>
      <c r="G4" s="2"/>
      <c r="H4" s="2"/>
    </row>
    <row r="5" spans="1:8" ht="15" customHeight="1" x14ac:dyDescent="0.3">
      <c r="A5" s="38" t="s">
        <v>697</v>
      </c>
      <c r="B5" s="38" t="s">
        <v>670</v>
      </c>
      <c r="C5" s="38" t="s">
        <v>698</v>
      </c>
      <c r="D5" s="38" t="s">
        <v>699</v>
      </c>
      <c r="E5" s="38" t="s">
        <v>792</v>
      </c>
      <c r="F5" s="38" t="s">
        <v>701</v>
      </c>
      <c r="G5" s="38" t="s">
        <v>793</v>
      </c>
      <c r="H5" s="38" t="s">
        <v>794</v>
      </c>
    </row>
    <row r="6" spans="1:8" ht="15" customHeight="1" x14ac:dyDescent="0.3">
      <c r="A6" s="39" t="s">
        <v>704</v>
      </c>
      <c r="B6" s="39" t="s">
        <v>206</v>
      </c>
      <c r="C6" s="39">
        <v>82</v>
      </c>
      <c r="D6" s="39">
        <v>75.150000000000006</v>
      </c>
      <c r="E6" s="39">
        <v>4.1123066001661996</v>
      </c>
      <c r="F6" s="40">
        <v>1.66573183033657</v>
      </c>
      <c r="G6" s="39" t="s">
        <v>795</v>
      </c>
      <c r="H6" s="39" t="s">
        <v>796</v>
      </c>
    </row>
    <row r="7" spans="1:8" ht="15" customHeight="1" x14ac:dyDescent="0.3">
      <c r="A7" s="39" t="s">
        <v>705</v>
      </c>
      <c r="B7" s="39" t="s">
        <v>269</v>
      </c>
      <c r="C7" s="39">
        <v>84</v>
      </c>
      <c r="D7" s="39">
        <v>71.350909090909099</v>
      </c>
      <c r="E7" s="39">
        <v>11.276850636120001</v>
      </c>
      <c r="F7" s="40">
        <v>1.1216864812038501</v>
      </c>
      <c r="G7" s="39" t="s">
        <v>797</v>
      </c>
      <c r="H7" s="39" t="s">
        <v>798</v>
      </c>
    </row>
    <row r="8" spans="1:8" ht="14.25" customHeight="1" x14ac:dyDescent="0.3"/>
    <row r="9" spans="1:8" ht="15" customHeight="1" x14ac:dyDescent="0.3">
      <c r="A9" s="41" t="s">
        <v>799</v>
      </c>
      <c r="B9" s="1" t="s">
        <v>800</v>
      </c>
      <c r="C9" s="1"/>
      <c r="D9" s="1"/>
      <c r="E9" s="1"/>
      <c r="F9" s="1"/>
      <c r="G9" s="1"/>
      <c r="H9" s="1"/>
    </row>
    <row r="10" spans="1:8" ht="15" customHeight="1" x14ac:dyDescent="0.3">
      <c r="B10" s="1"/>
      <c r="C10" s="1"/>
      <c r="D10" s="1"/>
      <c r="E10" s="1"/>
      <c r="F10" s="1"/>
      <c r="G10" s="1"/>
      <c r="H10" s="1"/>
    </row>
    <row r="11" spans="1:8" ht="15" customHeight="1" x14ac:dyDescent="0.3">
      <c r="A11" s="41" t="s">
        <v>801</v>
      </c>
      <c r="B11" s="82" t="s">
        <v>802</v>
      </c>
      <c r="C11" s="82"/>
      <c r="D11" s="82"/>
      <c r="E11" s="82"/>
      <c r="F11" s="82"/>
      <c r="G11" s="82"/>
      <c r="H11" s="82"/>
    </row>
    <row r="12" spans="1:8" ht="15" customHeight="1" x14ac:dyDescent="0.3">
      <c r="B12" s="82"/>
      <c r="C12" s="82"/>
      <c r="D12" s="82"/>
      <c r="E12" s="82"/>
      <c r="F12" s="82"/>
      <c r="G12" s="82"/>
      <c r="H12" s="82"/>
    </row>
    <row r="13" spans="1:8" ht="14.25" customHeight="1" x14ac:dyDescent="0.3"/>
    <row r="14" spans="1:8" ht="22.5" customHeight="1" x14ac:dyDescent="0.3">
      <c r="A14" s="2" t="s">
        <v>803</v>
      </c>
      <c r="B14" s="2"/>
      <c r="C14" s="2"/>
      <c r="D14" s="2"/>
      <c r="E14" s="2"/>
      <c r="F14" s="2"/>
      <c r="G14" s="2"/>
      <c r="H14" s="2"/>
    </row>
    <row r="15" spans="1:8" ht="15" customHeight="1" x14ac:dyDescent="0.3">
      <c r="A15" s="38" t="s">
        <v>804</v>
      </c>
      <c r="B15" s="38" t="s">
        <v>708</v>
      </c>
      <c r="C15" s="38" t="s">
        <v>700</v>
      </c>
      <c r="D15" s="38" t="s">
        <v>805</v>
      </c>
      <c r="E15" s="38" t="s">
        <v>701</v>
      </c>
      <c r="F15" s="38" t="s">
        <v>710</v>
      </c>
      <c r="G15" s="38" t="s">
        <v>711</v>
      </c>
      <c r="H15" s="38" t="s">
        <v>806</v>
      </c>
    </row>
    <row r="16" spans="1:8" ht="15" customHeight="1" x14ac:dyDescent="0.3">
      <c r="A16" s="15" t="s">
        <v>19</v>
      </c>
      <c r="B16" s="36">
        <v>57.783333333333303</v>
      </c>
      <c r="C16" s="36">
        <v>37.594247970806997</v>
      </c>
      <c r="D16" s="15">
        <v>15</v>
      </c>
      <c r="E16" s="36">
        <v>-1.1380287049911399</v>
      </c>
      <c r="F16" s="15" t="s">
        <v>807</v>
      </c>
      <c r="G16" s="15" t="s">
        <v>808</v>
      </c>
      <c r="H16" s="15" t="s">
        <v>809</v>
      </c>
    </row>
    <row r="17" spans="1:8" ht="14.25" customHeight="1" x14ac:dyDescent="0.3"/>
    <row r="18" spans="1:8" ht="15" customHeight="1" x14ac:dyDescent="0.3">
      <c r="B18" s="42" t="s">
        <v>810</v>
      </c>
      <c r="C18" s="82" t="s">
        <v>811</v>
      </c>
      <c r="D18" s="82"/>
      <c r="E18" s="82"/>
      <c r="F18" s="82"/>
      <c r="G18" s="82"/>
      <c r="H18" s="82"/>
    </row>
    <row r="19" spans="1:8" ht="15" customHeight="1" x14ac:dyDescent="0.3">
      <c r="C19" s="82"/>
      <c r="D19" s="82"/>
      <c r="E19" s="82"/>
      <c r="F19" s="82"/>
      <c r="G19" s="82"/>
      <c r="H19" s="82"/>
    </row>
    <row r="20" spans="1:8" ht="14.25" customHeight="1" x14ac:dyDescent="0.3"/>
    <row r="21" spans="1:8" ht="22.5" customHeight="1" x14ac:dyDescent="0.3">
      <c r="A21" s="2" t="s">
        <v>812</v>
      </c>
      <c r="B21" s="2"/>
      <c r="C21" s="2"/>
      <c r="D21" s="2"/>
      <c r="E21" s="2"/>
      <c r="F21" s="2"/>
      <c r="G21" s="2"/>
      <c r="H21" s="2"/>
    </row>
    <row r="22" spans="1:8" ht="27.75" customHeight="1" x14ac:dyDescent="0.3">
      <c r="A22" s="38" t="s">
        <v>714</v>
      </c>
      <c r="B22" s="38" t="s">
        <v>715</v>
      </c>
      <c r="C22" s="38" t="s">
        <v>813</v>
      </c>
      <c r="D22" s="38" t="s">
        <v>814</v>
      </c>
      <c r="E22" s="38" t="s">
        <v>712</v>
      </c>
    </row>
    <row r="23" spans="1:8" ht="15" customHeight="1" x14ac:dyDescent="0.3">
      <c r="A23" s="15" t="s">
        <v>815</v>
      </c>
      <c r="B23" s="43">
        <v>-2.3684757858669998E-17</v>
      </c>
      <c r="C23" s="15" t="s">
        <v>816</v>
      </c>
      <c r="D23" s="15" t="s">
        <v>817</v>
      </c>
      <c r="E23" s="15" t="s">
        <v>818</v>
      </c>
    </row>
    <row r="24" spans="1:8" ht="15" customHeight="1" x14ac:dyDescent="0.3">
      <c r="A24" s="15" t="s">
        <v>819</v>
      </c>
      <c r="B24" s="43">
        <v>0.99497063031224497</v>
      </c>
      <c r="C24" s="15" t="s">
        <v>820</v>
      </c>
      <c r="D24" s="15" t="s">
        <v>821</v>
      </c>
      <c r="E24" s="15" t="s">
        <v>818</v>
      </c>
    </row>
    <row r="25" spans="1:8" ht="15" customHeight="1" x14ac:dyDescent="0.3">
      <c r="A25" s="15" t="s">
        <v>822</v>
      </c>
      <c r="B25" s="43">
        <v>0.99331096171675604</v>
      </c>
      <c r="C25" s="15" t="s">
        <v>820</v>
      </c>
      <c r="D25" s="15" t="s">
        <v>823</v>
      </c>
      <c r="E25" s="15" t="s">
        <v>824</v>
      </c>
    </row>
    <row r="26" spans="1:8" ht="14.25" customHeight="1" x14ac:dyDescent="0.3"/>
    <row r="27" spans="1:8" ht="15" customHeight="1" x14ac:dyDescent="0.3">
      <c r="A27" s="41" t="s">
        <v>825</v>
      </c>
      <c r="B27" s="83" t="s">
        <v>826</v>
      </c>
      <c r="C27" s="83"/>
      <c r="D27" s="83"/>
      <c r="E27" s="83"/>
      <c r="F27" s="83"/>
      <c r="G27" s="83"/>
      <c r="H27" s="83"/>
    </row>
    <row r="28" spans="1:8" ht="15" customHeight="1" x14ac:dyDescent="0.3">
      <c r="B28" s="83"/>
      <c r="C28" s="83"/>
      <c r="D28" s="83"/>
      <c r="E28" s="83"/>
      <c r="F28" s="83"/>
      <c r="G28" s="83"/>
      <c r="H28" s="83"/>
    </row>
    <row r="29" spans="1:8" ht="14.25" customHeight="1" x14ac:dyDescent="0.3"/>
    <row r="30" spans="1:8" ht="22.5" customHeight="1" x14ac:dyDescent="0.3">
      <c r="A30" s="2" t="s">
        <v>827</v>
      </c>
      <c r="B30" s="2"/>
      <c r="C30" s="2"/>
      <c r="D30" s="2"/>
      <c r="E30" s="2"/>
      <c r="F30" s="2"/>
      <c r="G30" s="2"/>
      <c r="H30" s="2"/>
    </row>
    <row r="31" spans="1:8" ht="27.75" customHeight="1" x14ac:dyDescent="0.3">
      <c r="A31" s="38" t="s">
        <v>728</v>
      </c>
      <c r="B31" s="38" t="s">
        <v>671</v>
      </c>
      <c r="C31" s="38" t="s">
        <v>708</v>
      </c>
      <c r="D31" s="38" t="s">
        <v>729</v>
      </c>
      <c r="E31" s="38" t="s">
        <v>828</v>
      </c>
      <c r="F31" s="38" t="s">
        <v>829</v>
      </c>
      <c r="G31" s="38" t="s">
        <v>830</v>
      </c>
      <c r="H31" s="38" t="s">
        <v>831</v>
      </c>
    </row>
    <row r="32" spans="1:8" ht="27.75" customHeight="1" x14ac:dyDescent="0.3">
      <c r="A32" s="44" t="s">
        <v>832</v>
      </c>
      <c r="B32" s="44">
        <v>95</v>
      </c>
      <c r="C32" s="45">
        <v>77.667368421052601</v>
      </c>
      <c r="D32" s="45">
        <v>77.400000000000006</v>
      </c>
      <c r="E32" s="44" t="s">
        <v>833</v>
      </c>
      <c r="F32" s="45">
        <v>7.6709826389556701E-2</v>
      </c>
      <c r="G32" s="44" t="s">
        <v>834</v>
      </c>
      <c r="H32" s="44" t="s">
        <v>835</v>
      </c>
    </row>
    <row r="33" spans="1:8" ht="27.75" customHeight="1" x14ac:dyDescent="0.3">
      <c r="A33" s="44" t="s">
        <v>836</v>
      </c>
      <c r="B33" s="44">
        <v>300</v>
      </c>
      <c r="C33" s="45">
        <v>15.595000000000001</v>
      </c>
      <c r="D33" s="45">
        <v>14.9</v>
      </c>
      <c r="E33" s="44" t="s">
        <v>837</v>
      </c>
      <c r="F33" s="45">
        <v>1.3853821550729899</v>
      </c>
      <c r="G33" s="44" t="s">
        <v>838</v>
      </c>
      <c r="H33" s="44" t="s">
        <v>839</v>
      </c>
    </row>
    <row r="34" spans="1:8" ht="14.25" customHeight="1" x14ac:dyDescent="0.3"/>
    <row r="35" spans="1:8" ht="15" customHeight="1" x14ac:dyDescent="0.3">
      <c r="A35" s="15" t="s">
        <v>840</v>
      </c>
      <c r="B35" s="82" t="s">
        <v>841</v>
      </c>
      <c r="C35" s="82"/>
      <c r="D35" s="82"/>
      <c r="E35" s="82"/>
      <c r="F35" s="82"/>
      <c r="G35" s="82"/>
      <c r="H35" s="82"/>
    </row>
    <row r="36" spans="1:8" ht="15" customHeight="1" x14ac:dyDescent="0.3">
      <c r="B36" s="82"/>
      <c r="C36" s="82"/>
      <c r="D36" s="82"/>
      <c r="E36" s="82"/>
      <c r="F36" s="82"/>
      <c r="G36" s="82"/>
      <c r="H36" s="82"/>
    </row>
    <row r="37" spans="1:8" ht="15" customHeight="1" x14ac:dyDescent="0.3">
      <c r="A37" s="15" t="s">
        <v>842</v>
      </c>
      <c r="B37" s="84" t="s">
        <v>843</v>
      </c>
      <c r="C37" s="84"/>
      <c r="D37" s="84"/>
      <c r="E37" s="84"/>
      <c r="F37" s="84"/>
      <c r="G37" s="84"/>
      <c r="H37" s="84"/>
    </row>
    <row r="38" spans="1:8" ht="15" customHeight="1" x14ac:dyDescent="0.3">
      <c r="B38" s="84"/>
      <c r="C38" s="84"/>
      <c r="D38" s="84"/>
      <c r="E38" s="84"/>
      <c r="F38" s="84"/>
      <c r="G38" s="84"/>
      <c r="H38" s="84"/>
    </row>
    <row r="39" spans="1:8" ht="14.25" customHeight="1" x14ac:dyDescent="0.3"/>
    <row r="40" spans="1:8" ht="22.5" customHeight="1" x14ac:dyDescent="0.3">
      <c r="A40" s="2" t="s">
        <v>844</v>
      </c>
      <c r="B40" s="2"/>
      <c r="C40" s="2"/>
      <c r="D40" s="2"/>
      <c r="E40" s="2"/>
      <c r="F40" s="2"/>
      <c r="G40" s="2"/>
      <c r="H40" s="2"/>
    </row>
    <row r="41" spans="1:8" ht="15" customHeight="1" x14ac:dyDescent="0.3">
      <c r="A41" s="38" t="s">
        <v>845</v>
      </c>
      <c r="B41" s="38" t="s">
        <v>846</v>
      </c>
      <c r="C41" s="38" t="s">
        <v>847</v>
      </c>
      <c r="D41" s="38" t="s">
        <v>711</v>
      </c>
    </row>
    <row r="42" spans="1:8" ht="41.25" customHeight="1" x14ac:dyDescent="0.3">
      <c r="A42" s="44" t="s">
        <v>848</v>
      </c>
      <c r="B42" s="44" t="s">
        <v>849</v>
      </c>
      <c r="C42" s="44" t="s">
        <v>850</v>
      </c>
      <c r="D42" s="44" t="s">
        <v>851</v>
      </c>
    </row>
    <row r="43" spans="1:8" ht="41.25" customHeight="1" x14ac:dyDescent="0.3">
      <c r="A43" s="44" t="s">
        <v>852</v>
      </c>
      <c r="B43" s="44" t="s">
        <v>853</v>
      </c>
      <c r="C43" s="44" t="s">
        <v>854</v>
      </c>
      <c r="D43" s="44" t="s">
        <v>855</v>
      </c>
    </row>
    <row r="44" spans="1:8" ht="68.25" customHeight="1" x14ac:dyDescent="0.3">
      <c r="A44" s="44" t="s">
        <v>856</v>
      </c>
      <c r="B44" s="44" t="s">
        <v>857</v>
      </c>
      <c r="C44" s="44" t="s">
        <v>858</v>
      </c>
      <c r="D44" s="44" t="s">
        <v>859</v>
      </c>
    </row>
    <row r="45" spans="1:8" ht="68.25" customHeight="1" x14ac:dyDescent="0.3">
      <c r="A45" s="44" t="s">
        <v>752</v>
      </c>
      <c r="B45" s="44" t="s">
        <v>860</v>
      </c>
      <c r="C45" s="44" t="s">
        <v>861</v>
      </c>
      <c r="D45" s="44" t="s">
        <v>862</v>
      </c>
    </row>
    <row r="46" spans="1:8" ht="14.25" customHeight="1" x14ac:dyDescent="0.3"/>
    <row r="47" spans="1:8" ht="15" customHeight="1" x14ac:dyDescent="0.3">
      <c r="A47" s="41" t="s">
        <v>863</v>
      </c>
      <c r="B47" s="1" t="s">
        <v>864</v>
      </c>
      <c r="C47" s="1"/>
      <c r="D47" s="1"/>
      <c r="E47" s="1"/>
      <c r="F47" s="1"/>
      <c r="G47" s="1"/>
      <c r="H47" s="1"/>
    </row>
    <row r="48" spans="1:8" ht="15" customHeight="1" x14ac:dyDescent="0.3">
      <c r="B48" s="1"/>
      <c r="C48" s="1"/>
      <c r="D48" s="1"/>
      <c r="E48" s="1"/>
      <c r="F48" s="1"/>
      <c r="G48" s="1"/>
      <c r="H48" s="1"/>
    </row>
    <row r="49" spans="1:8" ht="15" customHeight="1" x14ac:dyDescent="0.3">
      <c r="B49" s="1"/>
      <c r="C49" s="1"/>
      <c r="D49" s="1"/>
      <c r="E49" s="1"/>
      <c r="F49" s="1"/>
      <c r="G49" s="1"/>
      <c r="H49" s="1"/>
    </row>
    <row r="50" spans="1:8" ht="14.25" customHeight="1" x14ac:dyDescent="0.3"/>
    <row r="51" spans="1:8" ht="22.5" customHeight="1" x14ac:dyDescent="0.3">
      <c r="A51" s="2" t="s">
        <v>865</v>
      </c>
      <c r="B51" s="2"/>
      <c r="C51" s="2"/>
      <c r="D51" s="2"/>
      <c r="E51" s="2"/>
      <c r="F51" s="2"/>
      <c r="G51" s="2"/>
      <c r="H51" s="2"/>
    </row>
    <row r="52" spans="1:8" ht="27.75" customHeight="1" x14ac:dyDescent="0.3">
      <c r="A52" s="38" t="s">
        <v>866</v>
      </c>
      <c r="B52" s="38" t="s">
        <v>754</v>
      </c>
      <c r="C52" s="38" t="s">
        <v>867</v>
      </c>
      <c r="D52" s="38" t="s">
        <v>755</v>
      </c>
      <c r="E52" s="38" t="s">
        <v>868</v>
      </c>
      <c r="F52" s="38" t="s">
        <v>711</v>
      </c>
    </row>
    <row r="53" spans="1:8" ht="135.75" customHeight="1" x14ac:dyDescent="0.3">
      <c r="A53" s="44" t="s">
        <v>869</v>
      </c>
      <c r="B53" s="45">
        <v>11.4</v>
      </c>
      <c r="C53" s="45">
        <v>14.9</v>
      </c>
      <c r="D53" s="45">
        <v>18.574999999999999</v>
      </c>
      <c r="E53" s="45">
        <v>2.43902439024389E-2</v>
      </c>
      <c r="F53" s="44" t="s">
        <v>870</v>
      </c>
    </row>
    <row r="54" spans="1:8" ht="27.75" customHeight="1" x14ac:dyDescent="0.3">
      <c r="A54" s="44" t="s">
        <v>206</v>
      </c>
      <c r="B54" s="45">
        <v>12.4</v>
      </c>
      <c r="C54" s="45">
        <v>15.45</v>
      </c>
      <c r="D54" s="45">
        <v>20.524999999999999</v>
      </c>
      <c r="E54" s="45">
        <v>0.24923076923077001</v>
      </c>
      <c r="F54" s="44" t="s">
        <v>871</v>
      </c>
    </row>
    <row r="55" spans="1:8" ht="15" customHeight="1" x14ac:dyDescent="0.3">
      <c r="A55" s="44" t="s">
        <v>21</v>
      </c>
      <c r="B55" s="45">
        <v>13.4</v>
      </c>
      <c r="C55" s="45">
        <v>16.899999999999999</v>
      </c>
      <c r="D55" s="45">
        <v>20.9</v>
      </c>
      <c r="E55" s="45">
        <v>6.6666666666666902E-2</v>
      </c>
      <c r="F55" s="44" t="s">
        <v>872</v>
      </c>
    </row>
    <row r="56" spans="1:8" ht="27.75" customHeight="1" x14ac:dyDescent="0.3">
      <c r="A56" s="44" t="s">
        <v>269</v>
      </c>
      <c r="B56" s="45">
        <v>9.85</v>
      </c>
      <c r="C56" s="45">
        <v>12.4</v>
      </c>
      <c r="D56" s="45">
        <v>15</v>
      </c>
      <c r="E56" s="45">
        <v>9.7087378640778096E-3</v>
      </c>
      <c r="F56" s="44" t="s">
        <v>873</v>
      </c>
    </row>
    <row r="57" spans="1:8" ht="27.75" customHeight="1" x14ac:dyDescent="0.3">
      <c r="A57" s="44" t="s">
        <v>117</v>
      </c>
      <c r="B57" s="45">
        <v>10.1</v>
      </c>
      <c r="C57" s="45">
        <v>13.45</v>
      </c>
      <c r="D57" s="45">
        <v>16.5</v>
      </c>
      <c r="E57" s="45">
        <v>-4.6874999999999799E-2</v>
      </c>
      <c r="F57" s="44" t="s">
        <v>873</v>
      </c>
    </row>
    <row r="58" spans="1:8" ht="14.25" customHeight="1" x14ac:dyDescent="0.3"/>
    <row r="59" spans="1:8" ht="15" customHeight="1" x14ac:dyDescent="0.3">
      <c r="A59" s="15" t="s">
        <v>874</v>
      </c>
      <c r="B59" s="83" t="s">
        <v>875</v>
      </c>
      <c r="C59" s="83"/>
      <c r="D59" s="83"/>
      <c r="E59" s="83"/>
      <c r="F59" s="83"/>
      <c r="G59" s="83"/>
      <c r="H59" s="83"/>
    </row>
    <row r="60" spans="1:8" ht="15" customHeight="1" x14ac:dyDescent="0.3">
      <c r="B60" s="83"/>
      <c r="C60" s="83"/>
      <c r="D60" s="83"/>
      <c r="E60" s="83"/>
      <c r="F60" s="83"/>
      <c r="G60" s="83"/>
      <c r="H60" s="83"/>
    </row>
    <row r="61" spans="1:8" ht="15" customHeight="1" x14ac:dyDescent="0.3">
      <c r="B61" s="83"/>
      <c r="C61" s="83"/>
      <c r="D61" s="83"/>
      <c r="E61" s="83"/>
      <c r="F61" s="83"/>
      <c r="G61" s="83"/>
      <c r="H61" s="83"/>
    </row>
  </sheetData>
  <mergeCells count="16">
    <mergeCell ref="B59:H61"/>
    <mergeCell ref="B35:H36"/>
    <mergeCell ref="B37:H38"/>
    <mergeCell ref="A40:H40"/>
    <mergeCell ref="B47:H49"/>
    <mergeCell ref="A51:H51"/>
    <mergeCell ref="A14:H14"/>
    <mergeCell ref="C18:H19"/>
    <mergeCell ref="A21:H21"/>
    <mergeCell ref="B27:H28"/>
    <mergeCell ref="A30:H30"/>
    <mergeCell ref="A1:H1"/>
    <mergeCell ref="A2:H2"/>
    <mergeCell ref="A4:H4"/>
    <mergeCell ref="B9:H10"/>
    <mergeCell ref="B11:H1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04"/>
  <sheetViews>
    <sheetView showGridLines="0" zoomScaleNormal="100" workbookViewId="0">
      <pane ySplit="4" topLeftCell="A5" activePane="bottomLeft" state="frozen"/>
      <selection pane="bottomLeft" activeCell="D17" sqref="D17"/>
    </sheetView>
  </sheetViews>
  <sheetFormatPr defaultColWidth="8.6640625" defaultRowHeight="14.4" x14ac:dyDescent="0.3"/>
  <cols>
    <col min="1" max="1" width="16" style="15" customWidth="1"/>
    <col min="2" max="2" width="20" style="15" customWidth="1"/>
    <col min="3" max="3" width="17" style="15" customWidth="1"/>
    <col min="4" max="6" width="15" style="15" customWidth="1"/>
    <col min="7" max="7" width="28" style="15" customWidth="1"/>
    <col min="8" max="8" width="12" style="15" customWidth="1"/>
    <col min="9" max="9" width="20" style="15" customWidth="1"/>
    <col min="10" max="10" width="25" style="15" customWidth="1"/>
  </cols>
  <sheetData>
    <row r="1" spans="1:10" ht="31.5" customHeight="1" x14ac:dyDescent="0.3">
      <c r="A1" s="85" t="s">
        <v>876</v>
      </c>
      <c r="B1" s="85"/>
      <c r="C1" s="85"/>
      <c r="D1" s="85"/>
      <c r="E1" s="85"/>
      <c r="F1" s="85"/>
      <c r="G1" s="85"/>
      <c r="H1" s="85"/>
      <c r="I1" s="44"/>
      <c r="J1" s="44"/>
    </row>
    <row r="2" spans="1:10" ht="30" customHeight="1" x14ac:dyDescent="0.3">
      <c r="A2" s="86"/>
      <c r="B2" s="86"/>
      <c r="C2" s="86"/>
      <c r="D2" s="86"/>
      <c r="E2" s="86"/>
      <c r="F2" s="86"/>
      <c r="G2" s="86"/>
      <c r="H2" s="86"/>
      <c r="I2" s="44"/>
      <c r="J2" s="44"/>
    </row>
    <row r="3" spans="1:10" ht="15" customHeight="1" x14ac:dyDescent="0.3">
      <c r="A3" s="44"/>
      <c r="B3" s="44"/>
      <c r="C3" s="44"/>
      <c r="D3" s="44"/>
      <c r="E3" s="44"/>
      <c r="F3" s="44"/>
      <c r="G3" s="44"/>
      <c r="H3" s="44"/>
      <c r="I3" s="44"/>
      <c r="J3" s="44"/>
    </row>
    <row r="4" spans="1:10" ht="27.75" customHeight="1" x14ac:dyDescent="0.3">
      <c r="A4" s="46" t="s">
        <v>13</v>
      </c>
      <c r="B4" s="46" t="s">
        <v>14</v>
      </c>
      <c r="C4" s="46" t="s">
        <v>15</v>
      </c>
      <c r="D4" s="46" t="s">
        <v>699</v>
      </c>
      <c r="E4" s="46" t="s">
        <v>792</v>
      </c>
      <c r="F4" s="46" t="s">
        <v>701</v>
      </c>
      <c r="G4" s="46" t="s">
        <v>877</v>
      </c>
      <c r="H4" s="44"/>
      <c r="I4" s="44" t="s">
        <v>878</v>
      </c>
      <c r="J4" s="44"/>
    </row>
    <row r="5" spans="1:10" ht="15" customHeight="1" x14ac:dyDescent="0.3">
      <c r="A5" s="44" t="s">
        <v>20</v>
      </c>
      <c r="B5" s="44" t="s">
        <v>21</v>
      </c>
      <c r="C5" s="45">
        <v>73.2</v>
      </c>
      <c r="D5" s="45">
        <f>AVERAGEIF(graduates!$B$2:$B$301,$B5,graduates!$C$2:$C$301)</f>
        <v>77.667368421052629</v>
      </c>
      <c r="E5" s="45">
        <f>SQRT(SUMPRODUCT((graduates!$B$2:$B$301=$B5)*(graduates!$C$2:$C$301-D5)^2)/(COUNTIF(graduates!$B$2:$B$301,$B5)-1))</f>
        <v>5.8158521833125265</v>
      </c>
      <c r="F5" s="45">
        <f t="shared" ref="F5:F68" si="0">(C5-D5)/E5</f>
        <v>-0.76813651383212311</v>
      </c>
      <c r="G5" s="44">
        <f t="shared" ref="G5:G68" si="1">(C5-D5)/E5</f>
        <v>-0.76813651383212311</v>
      </c>
      <c r="H5" s="44"/>
      <c r="I5" s="44" t="s">
        <v>879</v>
      </c>
      <c r="J5" s="47">
        <f>AVERAGE(G5:G304)</f>
        <v>-2.6423307986078724E-16</v>
      </c>
    </row>
    <row r="6" spans="1:10" ht="15" customHeight="1" x14ac:dyDescent="0.3">
      <c r="A6" s="44" t="s">
        <v>22</v>
      </c>
      <c r="B6" s="44" t="s">
        <v>21</v>
      </c>
      <c r="C6" s="45">
        <v>77.5</v>
      </c>
      <c r="D6" s="45">
        <f>AVERAGEIF(graduates!$B$2:$B$301,$B6,graduates!$C$2:$C$301)</f>
        <v>77.667368421052629</v>
      </c>
      <c r="E6" s="45">
        <f>SQRT(SUMPRODUCT((graduates!$B$2:$B$301=$B6)*(graduates!$C$2:$C$301-D6)^2)/(COUNTIF(graduates!$B$2:$B$301,$B6)-1))</f>
        <v>5.8158521833125265</v>
      </c>
      <c r="F6" s="45">
        <f t="shared" si="0"/>
        <v>-2.8777970240175733E-2</v>
      </c>
      <c r="G6" s="44">
        <f t="shared" si="1"/>
        <v>-2.8777970240175733E-2</v>
      </c>
      <c r="H6" s="44"/>
      <c r="I6" s="44" t="s">
        <v>880</v>
      </c>
      <c r="J6" s="47">
        <f>STDEV(G5:G304)</f>
        <v>0.99497063031224464</v>
      </c>
    </row>
    <row r="7" spans="1:10" ht="15" customHeight="1" x14ac:dyDescent="0.3">
      <c r="A7" s="44" t="s">
        <v>23</v>
      </c>
      <c r="B7" s="44" t="s">
        <v>21</v>
      </c>
      <c r="C7" s="45">
        <v>88.9</v>
      </c>
      <c r="D7" s="45">
        <f>AVERAGEIF(graduates!$B$2:$B$301,$B7,graduates!$C$2:$C$301)</f>
        <v>77.667368421052629</v>
      </c>
      <c r="E7" s="45">
        <f>SQRT(SUMPRODUCT((graduates!$B$2:$B$301=$B7)*(graduates!$C$2:$C$301-D7)^2)/(COUNTIF(graduates!$B$2:$B$301,$B7)-1))</f>
        <v>5.8158521833125265</v>
      </c>
      <c r="F7" s="45">
        <f t="shared" si="0"/>
        <v>1.9313818895152219</v>
      </c>
      <c r="G7" s="44">
        <f t="shared" si="1"/>
        <v>1.9313818895152219</v>
      </c>
      <c r="H7" s="44"/>
      <c r="I7" s="44" t="s">
        <v>881</v>
      </c>
      <c r="J7" s="47">
        <f>STDEVP(G5:G304)</f>
        <v>0.99331096171675548</v>
      </c>
    </row>
    <row r="8" spans="1:10" ht="15" customHeight="1" x14ac:dyDescent="0.3">
      <c r="A8" s="44" t="s">
        <v>24</v>
      </c>
      <c r="B8" s="44" t="s">
        <v>21</v>
      </c>
      <c r="C8" s="45">
        <v>74.900000000000006</v>
      </c>
      <c r="D8" s="45">
        <f>AVERAGEIF(graduates!$B$2:$B$301,$B8,graduates!$C$2:$C$301)</f>
        <v>77.667368421052629</v>
      </c>
      <c r="E8" s="45">
        <f>SQRT(SUMPRODUCT((graduates!$B$2:$B$301=$B8)*(graduates!$C$2:$C$301-D8)^2)/(COUNTIF(graduates!$B$2:$B$301,$B8)-1))</f>
        <v>5.8158521833125265</v>
      </c>
      <c r="F8" s="45">
        <f t="shared" si="0"/>
        <v>-0.47583197334228278</v>
      </c>
      <c r="G8" s="44">
        <f t="shared" si="1"/>
        <v>-0.47583197334228278</v>
      </c>
      <c r="H8" s="44"/>
      <c r="I8" s="44"/>
      <c r="J8" s="44"/>
    </row>
    <row r="9" spans="1:10" ht="15" customHeight="1" x14ac:dyDescent="0.3">
      <c r="A9" s="44" t="s">
        <v>25</v>
      </c>
      <c r="B9" s="44" t="s">
        <v>21</v>
      </c>
      <c r="C9" s="45">
        <v>93.4</v>
      </c>
      <c r="D9" s="45">
        <f>AVERAGEIF(graduates!$B$2:$B$301,$B9,graduates!$C$2:$C$301)</f>
        <v>77.667368421052629</v>
      </c>
      <c r="E9" s="45">
        <f>SQRT(SUMPRODUCT((graduates!$B$2:$B$301=$B9)*(graduates!$C$2:$C$301-D9)^2)/(COUNTIF(graduates!$B$2:$B$301,$B9)-1))</f>
        <v>5.8158521833125265</v>
      </c>
      <c r="F9" s="45">
        <f t="shared" si="0"/>
        <v>2.705129202576563</v>
      </c>
      <c r="G9" s="44">
        <f t="shared" si="1"/>
        <v>2.705129202576563</v>
      </c>
      <c r="H9" s="44"/>
      <c r="I9" s="44"/>
      <c r="J9" s="44"/>
    </row>
    <row r="10" spans="1:10" ht="15" customHeight="1" x14ac:dyDescent="0.3">
      <c r="A10" s="44" t="s">
        <v>26</v>
      </c>
      <c r="B10" s="44" t="s">
        <v>21</v>
      </c>
      <c r="C10" s="45">
        <v>74.7</v>
      </c>
      <c r="D10" s="45">
        <f>AVERAGEIF(graduates!$B$2:$B$301,$B10,graduates!$C$2:$C$301)</f>
        <v>77.667368421052629</v>
      </c>
      <c r="E10" s="45">
        <f>SQRT(SUMPRODUCT((graduates!$B$2:$B$301=$B10)*(graduates!$C$2:$C$301-D10)^2)/(COUNTIF(graduates!$B$2:$B$301,$B10)-1))</f>
        <v>5.8158521833125265</v>
      </c>
      <c r="F10" s="45">
        <f t="shared" si="0"/>
        <v>-0.51022074281167618</v>
      </c>
      <c r="G10" s="44">
        <f t="shared" si="1"/>
        <v>-0.51022074281167618</v>
      </c>
      <c r="H10" s="44"/>
      <c r="I10" s="44"/>
      <c r="J10" s="44"/>
    </row>
    <row r="11" spans="1:10" ht="15" customHeight="1" x14ac:dyDescent="0.3">
      <c r="A11" s="44" t="s">
        <v>27</v>
      </c>
      <c r="B11" s="44" t="s">
        <v>21</v>
      </c>
      <c r="C11" s="45">
        <v>79</v>
      </c>
      <c r="D11" s="45">
        <f>AVERAGEIF(graduates!$B$2:$B$301,$B11,graduates!$C$2:$C$301)</f>
        <v>77.667368421052629</v>
      </c>
      <c r="E11" s="45">
        <f>SQRT(SUMPRODUCT((graduates!$B$2:$B$301=$B11)*(graduates!$C$2:$C$301-D11)^2)/(COUNTIF(graduates!$B$2:$B$301,$B11)-1))</f>
        <v>5.8158521833125265</v>
      </c>
      <c r="F11" s="45">
        <f t="shared" si="0"/>
        <v>0.22913780078027121</v>
      </c>
      <c r="G11" s="44">
        <f t="shared" si="1"/>
        <v>0.22913780078027121</v>
      </c>
      <c r="H11" s="44"/>
      <c r="I11" s="44"/>
      <c r="J11" s="44"/>
    </row>
    <row r="12" spans="1:10" ht="15" customHeight="1" x14ac:dyDescent="0.3">
      <c r="A12" s="44" t="s">
        <v>28</v>
      </c>
      <c r="B12" s="44" t="s">
        <v>21</v>
      </c>
      <c r="C12" s="45">
        <v>74.099999999999994</v>
      </c>
      <c r="D12" s="45">
        <f>AVERAGEIF(graduates!$B$2:$B$301,$B12,graduates!$C$2:$C$301)</f>
        <v>77.667368421052629</v>
      </c>
      <c r="E12" s="45">
        <f>SQRT(SUMPRODUCT((graduates!$B$2:$B$301=$B12)*(graduates!$C$2:$C$301-D12)^2)/(COUNTIF(graduates!$B$2:$B$301,$B12)-1))</f>
        <v>5.8158521833125265</v>
      </c>
      <c r="F12" s="45">
        <f t="shared" si="0"/>
        <v>-0.61338705121985648</v>
      </c>
      <c r="G12" s="44">
        <f t="shared" si="1"/>
        <v>-0.61338705121985648</v>
      </c>
      <c r="H12" s="44"/>
      <c r="I12" s="44"/>
      <c r="J12" s="44"/>
    </row>
    <row r="13" spans="1:10" ht="15" customHeight="1" x14ac:dyDescent="0.3">
      <c r="A13" s="44" t="s">
        <v>29</v>
      </c>
      <c r="B13" s="44" t="s">
        <v>21</v>
      </c>
      <c r="C13" s="45">
        <v>80.8</v>
      </c>
      <c r="D13" s="45">
        <f>AVERAGEIF(graduates!$B$2:$B$301,$B13,graduates!$C$2:$C$301)</f>
        <v>77.667368421052629</v>
      </c>
      <c r="E13" s="45">
        <f>SQRT(SUMPRODUCT((graduates!$B$2:$B$301=$B13)*(graduates!$C$2:$C$301-D13)^2)/(COUNTIF(graduates!$B$2:$B$301,$B13)-1))</f>
        <v>5.8158521833125265</v>
      </c>
      <c r="F13" s="45">
        <f t="shared" si="0"/>
        <v>0.53863672600480705</v>
      </c>
      <c r="G13" s="44">
        <f t="shared" si="1"/>
        <v>0.53863672600480705</v>
      </c>
      <c r="H13" s="44"/>
      <c r="I13" s="44"/>
      <c r="J13" s="44"/>
    </row>
    <row r="14" spans="1:10" ht="15" customHeight="1" x14ac:dyDescent="0.3">
      <c r="A14" s="44" t="s">
        <v>30</v>
      </c>
      <c r="B14" s="44" t="s">
        <v>21</v>
      </c>
      <c r="C14" s="45">
        <v>71.599999999999994</v>
      </c>
      <c r="D14" s="45">
        <f>AVERAGEIF(graduates!$B$2:$B$301,$B14,graduates!$C$2:$C$301)</f>
        <v>77.667368421052629</v>
      </c>
      <c r="E14" s="45">
        <f>SQRT(SUMPRODUCT((graduates!$B$2:$B$301=$B14)*(graduates!$C$2:$C$301-D14)^2)/(COUNTIF(graduates!$B$2:$B$301,$B14)-1))</f>
        <v>5.8158521833125265</v>
      </c>
      <c r="F14" s="45">
        <f t="shared" si="0"/>
        <v>-1.043246669587268</v>
      </c>
      <c r="G14" s="44">
        <f t="shared" si="1"/>
        <v>-1.043246669587268</v>
      </c>
      <c r="H14" s="44"/>
      <c r="I14" s="44"/>
      <c r="J14" s="44"/>
    </row>
    <row r="15" spans="1:10" ht="15" customHeight="1" x14ac:dyDescent="0.3">
      <c r="A15" s="44" t="s">
        <v>31</v>
      </c>
      <c r="B15" s="44" t="s">
        <v>21</v>
      </c>
      <c r="C15" s="45">
        <v>73.2</v>
      </c>
      <c r="D15" s="45">
        <f>AVERAGEIF(graduates!$B$2:$B$301,$B15,graduates!$C$2:$C$301)</f>
        <v>77.667368421052629</v>
      </c>
      <c r="E15" s="45">
        <f>SQRT(SUMPRODUCT((graduates!$B$2:$B$301=$B15)*(graduates!$C$2:$C$301-D15)^2)/(COUNTIF(graduates!$B$2:$B$301,$B15)-1))</f>
        <v>5.8158521833125265</v>
      </c>
      <c r="F15" s="45">
        <f t="shared" si="0"/>
        <v>-0.76813651383212311</v>
      </c>
      <c r="G15" s="44">
        <f t="shared" si="1"/>
        <v>-0.76813651383212311</v>
      </c>
      <c r="H15" s="44"/>
      <c r="I15" s="44"/>
      <c r="J15" s="44"/>
    </row>
    <row r="16" spans="1:10" ht="15" customHeight="1" x14ac:dyDescent="0.3">
      <c r="A16" s="44" t="s">
        <v>32</v>
      </c>
      <c r="B16" s="44" t="s">
        <v>21</v>
      </c>
      <c r="C16" s="45">
        <v>73.900000000000006</v>
      </c>
      <c r="D16" s="45">
        <f>AVERAGEIF(graduates!$B$2:$B$301,$B16,graduates!$C$2:$C$301)</f>
        <v>77.667368421052629</v>
      </c>
      <c r="E16" s="45">
        <f>SQRT(SUMPRODUCT((graduates!$B$2:$B$301=$B16)*(graduates!$C$2:$C$301-D16)^2)/(COUNTIF(graduates!$B$2:$B$301,$B16)-1))</f>
        <v>5.8158521833125265</v>
      </c>
      <c r="F16" s="45">
        <f t="shared" si="0"/>
        <v>-0.64777582068924744</v>
      </c>
      <c r="G16" s="44">
        <f t="shared" si="1"/>
        <v>-0.64777582068924744</v>
      </c>
      <c r="H16" s="44"/>
      <c r="I16" s="44"/>
      <c r="J16" s="44"/>
    </row>
    <row r="17" spans="1:10" ht="15" customHeight="1" x14ac:dyDescent="0.3">
      <c r="A17" s="44" t="s">
        <v>33</v>
      </c>
      <c r="B17" s="44" t="s">
        <v>21</v>
      </c>
      <c r="C17" s="45">
        <v>72.099999999999994</v>
      </c>
      <c r="D17" s="45">
        <f>AVERAGEIF(graduates!$B$2:$B$301,$B17,graduates!$C$2:$C$301)</f>
        <v>77.667368421052629</v>
      </c>
      <c r="E17" s="45">
        <f>SQRT(SUMPRODUCT((graduates!$B$2:$B$301=$B17)*(graduates!$C$2:$C$301-D17)^2)/(COUNTIF(graduates!$B$2:$B$301,$B17)-1))</f>
        <v>5.8158521833125265</v>
      </c>
      <c r="F17" s="45">
        <f t="shared" si="0"/>
        <v>-0.9572747459137857</v>
      </c>
      <c r="G17" s="44">
        <f t="shared" si="1"/>
        <v>-0.9572747459137857</v>
      </c>
      <c r="H17" s="44"/>
      <c r="I17" s="44"/>
      <c r="J17" s="44"/>
    </row>
    <row r="18" spans="1:10" ht="15" customHeight="1" x14ac:dyDescent="0.3">
      <c r="A18" s="44" t="s">
        <v>34</v>
      </c>
      <c r="B18" s="44" t="s">
        <v>21</v>
      </c>
      <c r="C18" s="45">
        <v>77.8</v>
      </c>
      <c r="D18" s="45">
        <f>AVERAGEIF(graduates!$B$2:$B$301,$B18,graduates!$C$2:$C$301)</f>
        <v>77.667368421052629</v>
      </c>
      <c r="E18" s="45">
        <f>SQRT(SUMPRODUCT((graduates!$B$2:$B$301=$B18)*(graduates!$C$2:$C$301-D18)^2)/(COUNTIF(graduates!$B$2:$B$301,$B18)-1))</f>
        <v>5.8158521833125265</v>
      </c>
      <c r="F18" s="45">
        <f t="shared" si="0"/>
        <v>2.2805183963913168E-2</v>
      </c>
      <c r="G18" s="44">
        <f t="shared" si="1"/>
        <v>2.2805183963913168E-2</v>
      </c>
      <c r="H18" s="44"/>
      <c r="I18" s="44"/>
      <c r="J18" s="44"/>
    </row>
    <row r="19" spans="1:10" ht="15" customHeight="1" x14ac:dyDescent="0.3">
      <c r="A19" s="44" t="s">
        <v>35</v>
      </c>
      <c r="B19" s="44" t="s">
        <v>21</v>
      </c>
      <c r="C19" s="45">
        <v>82.5</v>
      </c>
      <c r="D19" s="45">
        <f>AVERAGEIF(graduates!$B$2:$B$301,$B19,graduates!$C$2:$C$301)</f>
        <v>77.667368421052629</v>
      </c>
      <c r="E19" s="45">
        <f>SQRT(SUMPRODUCT((graduates!$B$2:$B$301=$B19)*(graduates!$C$2:$C$301-D19)^2)/(COUNTIF(graduates!$B$2:$B$301,$B19)-1))</f>
        <v>5.8158521833125265</v>
      </c>
      <c r="F19" s="45">
        <f t="shared" si="0"/>
        <v>0.83094126649464739</v>
      </c>
      <c r="G19" s="44">
        <f t="shared" si="1"/>
        <v>0.83094126649464739</v>
      </c>
      <c r="H19" s="44"/>
      <c r="I19" s="44"/>
      <c r="J19" s="44"/>
    </row>
    <row r="20" spans="1:10" ht="15" customHeight="1" x14ac:dyDescent="0.3">
      <c r="A20" s="44" t="s">
        <v>36</v>
      </c>
      <c r="B20" s="44" t="s">
        <v>21</v>
      </c>
      <c r="C20" s="45">
        <v>72.7</v>
      </c>
      <c r="D20" s="45">
        <f>AVERAGEIF(graduates!$B$2:$B$301,$B20,graduates!$C$2:$C$301)</f>
        <v>77.667368421052629</v>
      </c>
      <c r="E20" s="45">
        <f>SQRT(SUMPRODUCT((graduates!$B$2:$B$301=$B20)*(graduates!$C$2:$C$301-D20)^2)/(COUNTIF(graduates!$B$2:$B$301,$B20)-1))</f>
        <v>5.8158521833125265</v>
      </c>
      <c r="F20" s="45">
        <f t="shared" si="0"/>
        <v>-0.8541084375056055</v>
      </c>
      <c r="G20" s="44">
        <f t="shared" si="1"/>
        <v>-0.8541084375056055</v>
      </c>
      <c r="H20" s="44"/>
      <c r="I20" s="44"/>
      <c r="J20" s="44"/>
    </row>
    <row r="21" spans="1:10" ht="15" customHeight="1" x14ac:dyDescent="0.3">
      <c r="A21" s="44" t="s">
        <v>37</v>
      </c>
      <c r="B21" s="44" t="s">
        <v>21</v>
      </c>
      <c r="C21" s="45">
        <v>84.4</v>
      </c>
      <c r="D21" s="45">
        <f>AVERAGEIF(graduates!$B$2:$B$301,$B21,graduates!$C$2:$C$301)</f>
        <v>77.667368421052629</v>
      </c>
      <c r="E21" s="45">
        <f>SQRT(SUMPRODUCT((graduates!$B$2:$B$301=$B21)*(graduates!$C$2:$C$301-D21)^2)/(COUNTIF(graduates!$B$2:$B$301,$B21)-1))</f>
        <v>5.8158521833125265</v>
      </c>
      <c r="F21" s="45">
        <f t="shared" si="0"/>
        <v>1.1576345764538811</v>
      </c>
      <c r="G21" s="44">
        <f t="shared" si="1"/>
        <v>1.1576345764538811</v>
      </c>
      <c r="H21" s="44"/>
      <c r="I21" s="44"/>
      <c r="J21" s="44"/>
    </row>
    <row r="22" spans="1:10" ht="15" customHeight="1" x14ac:dyDescent="0.3">
      <c r="A22" s="44" t="s">
        <v>38</v>
      </c>
      <c r="B22" s="44" t="s">
        <v>21</v>
      </c>
      <c r="C22" s="45">
        <v>75.8</v>
      </c>
      <c r="D22" s="45">
        <f>AVERAGEIF(graduates!$B$2:$B$301,$B22,graduates!$C$2:$C$301)</f>
        <v>77.667368421052629</v>
      </c>
      <c r="E22" s="45">
        <f>SQRT(SUMPRODUCT((graduates!$B$2:$B$301=$B22)*(graduates!$C$2:$C$301-D22)^2)/(COUNTIF(graduates!$B$2:$B$301,$B22)-1))</f>
        <v>5.8158521833125265</v>
      </c>
      <c r="F22" s="45">
        <f t="shared" si="0"/>
        <v>-0.32108251073001609</v>
      </c>
      <c r="G22" s="44">
        <f t="shared" si="1"/>
        <v>-0.32108251073001609</v>
      </c>
      <c r="H22" s="44"/>
      <c r="I22" s="44"/>
      <c r="J22" s="44"/>
    </row>
    <row r="23" spans="1:10" ht="15" customHeight="1" x14ac:dyDescent="0.3">
      <c r="A23" s="44" t="s">
        <v>39</v>
      </c>
      <c r="B23" s="44" t="s">
        <v>21</v>
      </c>
      <c r="C23" s="45">
        <v>78.2</v>
      </c>
      <c r="D23" s="45">
        <f>AVERAGEIF(graduates!$B$2:$B$301,$B23,graduates!$C$2:$C$301)</f>
        <v>77.667368421052629</v>
      </c>
      <c r="E23" s="45">
        <f>SQRT(SUMPRODUCT((graduates!$B$2:$B$301=$B23)*(graduates!$C$2:$C$301-D23)^2)/(COUNTIF(graduates!$B$2:$B$301,$B23)-1))</f>
        <v>5.8158521833125265</v>
      </c>
      <c r="F23" s="45">
        <f t="shared" si="0"/>
        <v>9.1582722902699989E-2</v>
      </c>
      <c r="G23" s="44">
        <f t="shared" si="1"/>
        <v>9.1582722902699989E-2</v>
      </c>
      <c r="H23" s="44"/>
      <c r="I23" s="44"/>
      <c r="J23" s="44"/>
    </row>
    <row r="24" spans="1:10" ht="15" customHeight="1" x14ac:dyDescent="0.3">
      <c r="A24" s="44" t="s">
        <v>40</v>
      </c>
      <c r="B24" s="44" t="s">
        <v>21</v>
      </c>
      <c r="C24" s="45">
        <v>73.900000000000006</v>
      </c>
      <c r="D24" s="45">
        <f>AVERAGEIF(graduates!$B$2:$B$301,$B24,graduates!$C$2:$C$301)</f>
        <v>77.667368421052629</v>
      </c>
      <c r="E24" s="45">
        <f>SQRT(SUMPRODUCT((graduates!$B$2:$B$301=$B24)*(graduates!$C$2:$C$301-D24)^2)/(COUNTIF(graduates!$B$2:$B$301,$B24)-1))</f>
        <v>5.8158521833125265</v>
      </c>
      <c r="F24" s="45">
        <f t="shared" si="0"/>
        <v>-0.64777582068924744</v>
      </c>
      <c r="G24" s="44">
        <f t="shared" si="1"/>
        <v>-0.64777582068924744</v>
      </c>
      <c r="H24" s="44"/>
      <c r="I24" s="44"/>
      <c r="J24" s="44"/>
    </row>
    <row r="25" spans="1:10" ht="15" customHeight="1" x14ac:dyDescent="0.3">
      <c r="A25" s="44" t="s">
        <v>41</v>
      </c>
      <c r="B25" s="44" t="s">
        <v>21</v>
      </c>
      <c r="C25" s="45">
        <v>68.8</v>
      </c>
      <c r="D25" s="45">
        <f>AVERAGEIF(graduates!$B$2:$B$301,$B25,graduates!$C$2:$C$301)</f>
        <v>77.667368421052629</v>
      </c>
      <c r="E25" s="45">
        <f>SQRT(SUMPRODUCT((graduates!$B$2:$B$301=$B25)*(graduates!$C$2:$C$301-D25)^2)/(COUNTIF(graduates!$B$2:$B$301,$B25)-1))</f>
        <v>5.8158521833125265</v>
      </c>
      <c r="F25" s="45">
        <f t="shared" si="0"/>
        <v>-1.5246894421587684</v>
      </c>
      <c r="G25" s="44">
        <f t="shared" si="1"/>
        <v>-1.5246894421587684</v>
      </c>
      <c r="H25" s="44"/>
      <c r="I25" s="44"/>
      <c r="J25" s="44"/>
    </row>
    <row r="26" spans="1:10" ht="15" customHeight="1" x14ac:dyDescent="0.3">
      <c r="A26" s="44" t="s">
        <v>42</v>
      </c>
      <c r="B26" s="44" t="s">
        <v>21</v>
      </c>
      <c r="C26" s="45">
        <v>90.5</v>
      </c>
      <c r="D26" s="45">
        <f>AVERAGEIF(graduates!$B$2:$B$301,$B26,graduates!$C$2:$C$301)</f>
        <v>77.667368421052629</v>
      </c>
      <c r="E26" s="45">
        <f>SQRT(SUMPRODUCT((graduates!$B$2:$B$301=$B26)*(graduates!$C$2:$C$301-D26)^2)/(COUNTIF(graduates!$B$2:$B$301,$B26)-1))</f>
        <v>5.8158521833125265</v>
      </c>
      <c r="F26" s="45">
        <f t="shared" si="0"/>
        <v>2.2064920452703642</v>
      </c>
      <c r="G26" s="44">
        <f t="shared" si="1"/>
        <v>2.2064920452703642</v>
      </c>
      <c r="H26" s="44"/>
      <c r="I26" s="44"/>
      <c r="J26" s="44"/>
    </row>
    <row r="27" spans="1:10" ht="15" customHeight="1" x14ac:dyDescent="0.3">
      <c r="A27" s="44" t="s">
        <v>43</v>
      </c>
      <c r="B27" s="44" t="s">
        <v>21</v>
      </c>
      <c r="C27" s="45">
        <v>82.2</v>
      </c>
      <c r="D27" s="45">
        <f>AVERAGEIF(graduates!$B$2:$B$301,$B27,graduates!$C$2:$C$301)</f>
        <v>77.667368421052629</v>
      </c>
      <c r="E27" s="45">
        <f>SQRT(SUMPRODUCT((graduates!$B$2:$B$301=$B27)*(graduates!$C$2:$C$301-D27)^2)/(COUNTIF(graduates!$B$2:$B$301,$B27)-1))</f>
        <v>5.8158521833125265</v>
      </c>
      <c r="F27" s="45">
        <f t="shared" si="0"/>
        <v>0.77935811229055851</v>
      </c>
      <c r="G27" s="44">
        <f t="shared" si="1"/>
        <v>0.77935811229055851</v>
      </c>
      <c r="H27" s="44"/>
      <c r="I27" s="44"/>
      <c r="J27" s="44"/>
    </row>
    <row r="28" spans="1:10" ht="15" customHeight="1" x14ac:dyDescent="0.3">
      <c r="A28" s="44" t="s">
        <v>44</v>
      </c>
      <c r="B28" s="44" t="s">
        <v>21</v>
      </c>
      <c r="C28" s="45">
        <v>83</v>
      </c>
      <c r="D28" s="45">
        <f>AVERAGEIF(graduates!$B$2:$B$301,$B28,graduates!$C$2:$C$301)</f>
        <v>77.667368421052629</v>
      </c>
      <c r="E28" s="45">
        <f>SQRT(SUMPRODUCT((graduates!$B$2:$B$301=$B28)*(graduates!$C$2:$C$301-D28)^2)/(COUNTIF(graduates!$B$2:$B$301,$B28)-1))</f>
        <v>5.8158521833125265</v>
      </c>
      <c r="F28" s="45">
        <f t="shared" si="0"/>
        <v>0.91691319016812967</v>
      </c>
      <c r="G28" s="44">
        <f t="shared" si="1"/>
        <v>0.91691319016812967</v>
      </c>
      <c r="H28" s="44"/>
      <c r="I28" s="44"/>
      <c r="J28" s="44"/>
    </row>
    <row r="29" spans="1:10" ht="15" customHeight="1" x14ac:dyDescent="0.3">
      <c r="A29" s="44" t="s">
        <v>45</v>
      </c>
      <c r="B29" s="44" t="s">
        <v>21</v>
      </c>
      <c r="C29" s="45">
        <v>78.5</v>
      </c>
      <c r="D29" s="45">
        <f>AVERAGEIF(graduates!$B$2:$B$301,$B29,graduates!$C$2:$C$301)</f>
        <v>77.667368421052629</v>
      </c>
      <c r="E29" s="45">
        <f>SQRT(SUMPRODUCT((graduates!$B$2:$B$301=$B29)*(graduates!$C$2:$C$301-D29)^2)/(COUNTIF(graduates!$B$2:$B$301,$B29)-1))</f>
        <v>5.8158521833125265</v>
      </c>
      <c r="F29" s="45">
        <f t="shared" si="0"/>
        <v>0.14316587710678891</v>
      </c>
      <c r="G29" s="44">
        <f t="shared" si="1"/>
        <v>0.14316587710678891</v>
      </c>
      <c r="H29" s="44"/>
      <c r="I29" s="44"/>
      <c r="J29" s="44"/>
    </row>
    <row r="30" spans="1:10" ht="15" customHeight="1" x14ac:dyDescent="0.3">
      <c r="A30" s="44" t="s">
        <v>46</v>
      </c>
      <c r="B30" s="44" t="s">
        <v>21</v>
      </c>
      <c r="C30" s="45">
        <v>84.8</v>
      </c>
      <c r="D30" s="45">
        <f>AVERAGEIF(graduates!$B$2:$B$301,$B30,graduates!$C$2:$C$301)</f>
        <v>77.667368421052629</v>
      </c>
      <c r="E30" s="45">
        <f>SQRT(SUMPRODUCT((graduates!$B$2:$B$301=$B30)*(graduates!$C$2:$C$301-D30)^2)/(COUNTIF(graduates!$B$2:$B$301,$B30)-1))</f>
        <v>5.8158521833125265</v>
      </c>
      <c r="F30" s="45">
        <f t="shared" si="0"/>
        <v>1.2264121153926655</v>
      </c>
      <c r="G30" s="44">
        <f t="shared" si="1"/>
        <v>1.2264121153926655</v>
      </c>
      <c r="H30" s="44"/>
      <c r="I30" s="44"/>
      <c r="J30" s="44"/>
    </row>
    <row r="31" spans="1:10" ht="15" customHeight="1" x14ac:dyDescent="0.3">
      <c r="A31" s="44" t="s">
        <v>47</v>
      </c>
      <c r="B31" s="44" t="s">
        <v>21</v>
      </c>
      <c r="C31" s="45">
        <v>74.099999999999994</v>
      </c>
      <c r="D31" s="45">
        <f>AVERAGEIF(graduates!$B$2:$B$301,$B31,graduates!$C$2:$C$301)</f>
        <v>77.667368421052629</v>
      </c>
      <c r="E31" s="45">
        <f>SQRT(SUMPRODUCT((graduates!$B$2:$B$301=$B31)*(graduates!$C$2:$C$301-D31)^2)/(COUNTIF(graduates!$B$2:$B$301,$B31)-1))</f>
        <v>5.8158521833125265</v>
      </c>
      <c r="F31" s="45">
        <f t="shared" si="0"/>
        <v>-0.61338705121985648</v>
      </c>
      <c r="G31" s="44">
        <f t="shared" si="1"/>
        <v>-0.61338705121985648</v>
      </c>
      <c r="H31" s="44"/>
      <c r="I31" s="44"/>
      <c r="J31" s="44"/>
    </row>
    <row r="32" spans="1:10" ht="15" customHeight="1" x14ac:dyDescent="0.3">
      <c r="A32" s="44" t="s">
        <v>48</v>
      </c>
      <c r="B32" s="44" t="s">
        <v>21</v>
      </c>
      <c r="C32" s="45">
        <v>82.8</v>
      </c>
      <c r="D32" s="45">
        <f>AVERAGEIF(graduates!$B$2:$B$301,$B32,graduates!$C$2:$C$301)</f>
        <v>77.667368421052629</v>
      </c>
      <c r="E32" s="45">
        <f>SQRT(SUMPRODUCT((graduates!$B$2:$B$301=$B32)*(graduates!$C$2:$C$301-D32)^2)/(COUNTIF(graduates!$B$2:$B$301,$B32)-1))</f>
        <v>5.8158521833125265</v>
      </c>
      <c r="F32" s="45">
        <f t="shared" si="0"/>
        <v>0.88252442069873627</v>
      </c>
      <c r="G32" s="44">
        <f t="shared" si="1"/>
        <v>0.88252442069873627</v>
      </c>
      <c r="H32" s="44"/>
      <c r="I32" s="44"/>
      <c r="J32" s="44"/>
    </row>
    <row r="33" spans="1:10" ht="15" customHeight="1" x14ac:dyDescent="0.3">
      <c r="A33" s="44" t="s">
        <v>49</v>
      </c>
      <c r="B33" s="44" t="s">
        <v>21</v>
      </c>
      <c r="C33" s="45">
        <v>77.3</v>
      </c>
      <c r="D33" s="45">
        <f>AVERAGEIF(graduates!$B$2:$B$301,$B33,graduates!$C$2:$C$301)</f>
        <v>77.667368421052629</v>
      </c>
      <c r="E33" s="45">
        <f>SQRT(SUMPRODUCT((graduates!$B$2:$B$301=$B33)*(graduates!$C$2:$C$301-D33)^2)/(COUNTIF(graduates!$B$2:$B$301,$B33)-1))</f>
        <v>5.8158521833125265</v>
      </c>
      <c r="F33" s="45">
        <f t="shared" si="0"/>
        <v>-6.3166739709569153E-2</v>
      </c>
      <c r="G33" s="44">
        <f t="shared" si="1"/>
        <v>-6.3166739709569153E-2</v>
      </c>
      <c r="H33" s="44"/>
      <c r="I33" s="44"/>
      <c r="J33" s="44"/>
    </row>
    <row r="34" spans="1:10" ht="15" customHeight="1" x14ac:dyDescent="0.3">
      <c r="A34" s="44" t="s">
        <v>50</v>
      </c>
      <c r="B34" s="44" t="s">
        <v>21</v>
      </c>
      <c r="C34" s="45">
        <v>77.2</v>
      </c>
      <c r="D34" s="45">
        <f>AVERAGEIF(graduates!$B$2:$B$301,$B34,graduates!$C$2:$C$301)</f>
        <v>77.667368421052629</v>
      </c>
      <c r="E34" s="45">
        <f>SQRT(SUMPRODUCT((graduates!$B$2:$B$301=$B34)*(graduates!$C$2:$C$301-D34)^2)/(COUNTIF(graduates!$B$2:$B$301,$B34)-1))</f>
        <v>5.8158521833125265</v>
      </c>
      <c r="F34" s="45">
        <f t="shared" si="0"/>
        <v>-8.0361124444264631E-2</v>
      </c>
      <c r="G34" s="44">
        <f t="shared" si="1"/>
        <v>-8.0361124444264631E-2</v>
      </c>
      <c r="H34" s="44"/>
      <c r="I34" s="44"/>
      <c r="J34" s="44"/>
    </row>
    <row r="35" spans="1:10" ht="15" customHeight="1" x14ac:dyDescent="0.3">
      <c r="A35" s="44" t="s">
        <v>51</v>
      </c>
      <c r="B35" s="44" t="s">
        <v>21</v>
      </c>
      <c r="C35" s="45">
        <v>71.3</v>
      </c>
      <c r="D35" s="45">
        <f>AVERAGEIF(graduates!$B$2:$B$301,$B35,graduates!$C$2:$C$301)</f>
        <v>77.667368421052629</v>
      </c>
      <c r="E35" s="45">
        <f>SQRT(SUMPRODUCT((graduates!$B$2:$B$301=$B35)*(graduates!$C$2:$C$301-D35)^2)/(COUNTIF(graduates!$B$2:$B$301,$B35)-1))</f>
        <v>5.8158521833125265</v>
      </c>
      <c r="F35" s="45">
        <f t="shared" si="0"/>
        <v>-1.094829823791357</v>
      </c>
      <c r="G35" s="44">
        <f t="shared" si="1"/>
        <v>-1.094829823791357</v>
      </c>
      <c r="H35" s="44"/>
      <c r="I35" s="44"/>
      <c r="J35" s="44"/>
    </row>
    <row r="36" spans="1:10" ht="15" customHeight="1" x14ac:dyDescent="0.3">
      <c r="A36" s="44" t="s">
        <v>52</v>
      </c>
      <c r="B36" s="44" t="s">
        <v>21</v>
      </c>
      <c r="C36" s="45">
        <v>80.7</v>
      </c>
      <c r="D36" s="45">
        <f>AVERAGEIF(graduates!$B$2:$B$301,$B36,graduates!$C$2:$C$301)</f>
        <v>77.667368421052629</v>
      </c>
      <c r="E36" s="45">
        <f>SQRT(SUMPRODUCT((graduates!$B$2:$B$301=$B36)*(graduates!$C$2:$C$301-D36)^2)/(COUNTIF(graduates!$B$2:$B$301,$B36)-1))</f>
        <v>5.8158521833125265</v>
      </c>
      <c r="F36" s="45">
        <f t="shared" si="0"/>
        <v>0.52144234127011158</v>
      </c>
      <c r="G36" s="44">
        <f t="shared" si="1"/>
        <v>0.52144234127011158</v>
      </c>
      <c r="H36" s="44"/>
      <c r="I36" s="44"/>
      <c r="J36" s="44"/>
    </row>
    <row r="37" spans="1:10" ht="15" customHeight="1" x14ac:dyDescent="0.3">
      <c r="A37" s="44" t="s">
        <v>53</v>
      </c>
      <c r="B37" s="44" t="s">
        <v>21</v>
      </c>
      <c r="C37" s="45">
        <v>89.1</v>
      </c>
      <c r="D37" s="45">
        <f>AVERAGEIF(graduates!$B$2:$B$301,$B37,graduates!$C$2:$C$301)</f>
        <v>77.667368421052629</v>
      </c>
      <c r="E37" s="45">
        <f>SQRT(SUMPRODUCT((graduates!$B$2:$B$301=$B37)*(graduates!$C$2:$C$301-D37)^2)/(COUNTIF(graduates!$B$2:$B$301,$B37)-1))</f>
        <v>5.8158521833125265</v>
      </c>
      <c r="F37" s="45">
        <f t="shared" si="0"/>
        <v>1.9657706589846129</v>
      </c>
      <c r="G37" s="44">
        <f t="shared" si="1"/>
        <v>1.9657706589846129</v>
      </c>
      <c r="H37" s="44"/>
      <c r="I37" s="44"/>
      <c r="J37" s="44"/>
    </row>
    <row r="38" spans="1:10" ht="15" customHeight="1" x14ac:dyDescent="0.3">
      <c r="A38" s="44" t="s">
        <v>54</v>
      </c>
      <c r="B38" s="44" t="s">
        <v>21</v>
      </c>
      <c r="C38" s="45">
        <v>74.400000000000006</v>
      </c>
      <c r="D38" s="45">
        <f>AVERAGEIF(graduates!$B$2:$B$301,$B38,graduates!$C$2:$C$301)</f>
        <v>77.667368421052629</v>
      </c>
      <c r="E38" s="45">
        <f>SQRT(SUMPRODUCT((graduates!$B$2:$B$301=$B38)*(graduates!$C$2:$C$301-D38)^2)/(COUNTIF(graduates!$B$2:$B$301,$B38)-1))</f>
        <v>5.8158521833125265</v>
      </c>
      <c r="F38" s="45">
        <f t="shared" si="0"/>
        <v>-0.56180389701576505</v>
      </c>
      <c r="G38" s="44">
        <f t="shared" si="1"/>
        <v>-0.56180389701576505</v>
      </c>
      <c r="H38" s="44"/>
      <c r="I38" s="44"/>
      <c r="J38" s="44"/>
    </row>
    <row r="39" spans="1:10" ht="15" customHeight="1" x14ac:dyDescent="0.3">
      <c r="A39" s="44" t="s">
        <v>55</v>
      </c>
      <c r="B39" s="44" t="s">
        <v>21</v>
      </c>
      <c r="C39" s="45">
        <v>80.599999999999994</v>
      </c>
      <c r="D39" s="45">
        <f>AVERAGEIF(graduates!$B$2:$B$301,$B39,graduates!$C$2:$C$301)</f>
        <v>77.667368421052629</v>
      </c>
      <c r="E39" s="45">
        <f>SQRT(SUMPRODUCT((graduates!$B$2:$B$301=$B39)*(graduates!$C$2:$C$301-D39)^2)/(COUNTIF(graduates!$B$2:$B$301,$B39)-1))</f>
        <v>5.8158521833125265</v>
      </c>
      <c r="F39" s="45">
        <f t="shared" si="0"/>
        <v>0.50424795653541366</v>
      </c>
      <c r="G39" s="44">
        <f t="shared" si="1"/>
        <v>0.50424795653541366</v>
      </c>
      <c r="H39" s="44"/>
      <c r="I39" s="44"/>
      <c r="J39" s="44"/>
    </row>
    <row r="40" spans="1:10" ht="15" customHeight="1" x14ac:dyDescent="0.3">
      <c r="A40" s="44" t="s">
        <v>56</v>
      </c>
      <c r="B40" s="44" t="s">
        <v>21</v>
      </c>
      <c r="C40" s="45">
        <v>81.7</v>
      </c>
      <c r="D40" s="45">
        <f>AVERAGEIF(graduates!$B$2:$B$301,$B40,graduates!$C$2:$C$301)</f>
        <v>77.667368421052629</v>
      </c>
      <c r="E40" s="45">
        <f>SQRT(SUMPRODUCT((graduates!$B$2:$B$301=$B40)*(graduates!$C$2:$C$301-D40)^2)/(COUNTIF(graduates!$B$2:$B$301,$B40)-1))</f>
        <v>5.8158521833125265</v>
      </c>
      <c r="F40" s="45">
        <f t="shared" si="0"/>
        <v>0.69338618861707624</v>
      </c>
      <c r="G40" s="44">
        <f t="shared" si="1"/>
        <v>0.69338618861707624</v>
      </c>
      <c r="H40" s="44"/>
      <c r="I40" s="44"/>
      <c r="J40" s="44"/>
    </row>
    <row r="41" spans="1:10" ht="15" customHeight="1" x14ac:dyDescent="0.3">
      <c r="A41" s="44" t="s">
        <v>57</v>
      </c>
      <c r="B41" s="44" t="s">
        <v>21</v>
      </c>
      <c r="C41" s="45">
        <v>71.3</v>
      </c>
      <c r="D41" s="45">
        <f>AVERAGEIF(graduates!$B$2:$B$301,$B41,graduates!$C$2:$C$301)</f>
        <v>77.667368421052629</v>
      </c>
      <c r="E41" s="45">
        <f>SQRT(SUMPRODUCT((graduates!$B$2:$B$301=$B41)*(graduates!$C$2:$C$301-D41)^2)/(COUNTIF(graduates!$B$2:$B$301,$B41)-1))</f>
        <v>5.8158521833125265</v>
      </c>
      <c r="F41" s="45">
        <f t="shared" si="0"/>
        <v>-1.094829823791357</v>
      </c>
      <c r="G41" s="44">
        <f t="shared" si="1"/>
        <v>-1.094829823791357</v>
      </c>
      <c r="H41" s="44"/>
      <c r="I41" s="44"/>
      <c r="J41" s="44"/>
    </row>
    <row r="42" spans="1:10" ht="15" customHeight="1" x14ac:dyDescent="0.3">
      <c r="A42" s="44" t="s">
        <v>58</v>
      </c>
      <c r="B42" s="44" t="s">
        <v>21</v>
      </c>
      <c r="C42" s="45">
        <v>75.900000000000006</v>
      </c>
      <c r="D42" s="45">
        <f>AVERAGEIF(graduates!$B$2:$B$301,$B42,graduates!$C$2:$C$301)</f>
        <v>77.667368421052629</v>
      </c>
      <c r="E42" s="45">
        <f>SQRT(SUMPRODUCT((graduates!$B$2:$B$301=$B42)*(graduates!$C$2:$C$301-D42)^2)/(COUNTIF(graduates!$B$2:$B$301,$B42)-1))</f>
        <v>5.8158521833125265</v>
      </c>
      <c r="F42" s="45">
        <f t="shared" si="0"/>
        <v>-0.30388812599531817</v>
      </c>
      <c r="G42" s="44">
        <f t="shared" si="1"/>
        <v>-0.30388812599531817</v>
      </c>
      <c r="H42" s="44"/>
      <c r="I42" s="44"/>
      <c r="J42" s="44"/>
    </row>
    <row r="43" spans="1:10" ht="15" customHeight="1" x14ac:dyDescent="0.3">
      <c r="A43" s="44" t="s">
        <v>59</v>
      </c>
      <c r="B43" s="44" t="s">
        <v>21</v>
      </c>
      <c r="C43" s="45">
        <v>86.7</v>
      </c>
      <c r="D43" s="45">
        <f>AVERAGEIF(graduates!$B$2:$B$301,$B43,graduates!$C$2:$C$301)</f>
        <v>77.667368421052629</v>
      </c>
      <c r="E43" s="45">
        <f>SQRT(SUMPRODUCT((graduates!$B$2:$B$301=$B43)*(graduates!$C$2:$C$301-D43)^2)/(COUNTIF(graduates!$B$2:$B$301,$B43)-1))</f>
        <v>5.8158521833125265</v>
      </c>
      <c r="F43" s="45">
        <f t="shared" si="0"/>
        <v>1.5531054253518994</v>
      </c>
      <c r="G43" s="44">
        <f t="shared" si="1"/>
        <v>1.5531054253518994</v>
      </c>
      <c r="H43" s="44"/>
      <c r="I43" s="44"/>
      <c r="J43" s="44"/>
    </row>
    <row r="44" spans="1:10" ht="15" customHeight="1" x14ac:dyDescent="0.3">
      <c r="A44" s="44" t="s">
        <v>60</v>
      </c>
      <c r="B44" s="44" t="s">
        <v>21</v>
      </c>
      <c r="C44" s="45">
        <v>72.599999999999994</v>
      </c>
      <c r="D44" s="45">
        <f>AVERAGEIF(graduates!$B$2:$B$301,$B44,graduates!$C$2:$C$301)</f>
        <v>77.667368421052629</v>
      </c>
      <c r="E44" s="45">
        <f>SQRT(SUMPRODUCT((graduates!$B$2:$B$301=$B44)*(graduates!$C$2:$C$301-D44)^2)/(COUNTIF(graduates!$B$2:$B$301,$B44)-1))</f>
        <v>5.8158521833125265</v>
      </c>
      <c r="F44" s="45">
        <f t="shared" si="0"/>
        <v>-0.87130282224030342</v>
      </c>
      <c r="G44" s="44">
        <f t="shared" si="1"/>
        <v>-0.87130282224030342</v>
      </c>
      <c r="H44" s="44"/>
      <c r="I44" s="44"/>
      <c r="J44" s="44"/>
    </row>
    <row r="45" spans="1:10" ht="15" customHeight="1" x14ac:dyDescent="0.3">
      <c r="A45" s="44" t="s">
        <v>61</v>
      </c>
      <c r="B45" s="44" t="s">
        <v>21</v>
      </c>
      <c r="C45" s="45">
        <v>76.8</v>
      </c>
      <c r="D45" s="45">
        <f>AVERAGEIF(graduates!$B$2:$B$301,$B45,graduates!$C$2:$C$301)</f>
        <v>77.667368421052629</v>
      </c>
      <c r="E45" s="45">
        <f>SQRT(SUMPRODUCT((graduates!$B$2:$B$301=$B45)*(graduates!$C$2:$C$301-D45)^2)/(COUNTIF(graduates!$B$2:$B$301,$B45)-1))</f>
        <v>5.8158521833125265</v>
      </c>
      <c r="F45" s="45">
        <f t="shared" si="0"/>
        <v>-0.14913866338305146</v>
      </c>
      <c r="G45" s="44">
        <f t="shared" si="1"/>
        <v>-0.14913866338305146</v>
      </c>
      <c r="H45" s="44"/>
      <c r="I45" s="44"/>
      <c r="J45" s="44"/>
    </row>
    <row r="46" spans="1:10" ht="15" customHeight="1" x14ac:dyDescent="0.3">
      <c r="A46" s="44" t="s">
        <v>62</v>
      </c>
      <c r="B46" s="44" t="s">
        <v>21</v>
      </c>
      <c r="C46" s="45">
        <v>72.099999999999994</v>
      </c>
      <c r="D46" s="45">
        <f>AVERAGEIF(graduates!$B$2:$B$301,$B46,graduates!$C$2:$C$301)</f>
        <v>77.667368421052629</v>
      </c>
      <c r="E46" s="45">
        <f>SQRT(SUMPRODUCT((graduates!$B$2:$B$301=$B46)*(graduates!$C$2:$C$301-D46)^2)/(COUNTIF(graduates!$B$2:$B$301,$B46)-1))</f>
        <v>5.8158521833125265</v>
      </c>
      <c r="F46" s="45">
        <f t="shared" si="0"/>
        <v>-0.9572747459137857</v>
      </c>
      <c r="G46" s="44">
        <f t="shared" si="1"/>
        <v>-0.9572747459137857</v>
      </c>
      <c r="H46" s="44"/>
      <c r="I46" s="44"/>
      <c r="J46" s="44"/>
    </row>
    <row r="47" spans="1:10" ht="15" customHeight="1" x14ac:dyDescent="0.3">
      <c r="A47" s="44" t="s">
        <v>63</v>
      </c>
      <c r="B47" s="44" t="s">
        <v>21</v>
      </c>
      <c r="C47" s="45">
        <v>86.9</v>
      </c>
      <c r="D47" s="45">
        <f>AVERAGEIF(graduates!$B$2:$B$301,$B47,graduates!$C$2:$C$301)</f>
        <v>77.667368421052629</v>
      </c>
      <c r="E47" s="45">
        <f>SQRT(SUMPRODUCT((graduates!$B$2:$B$301=$B47)*(graduates!$C$2:$C$301-D47)^2)/(COUNTIF(graduates!$B$2:$B$301,$B47)-1))</f>
        <v>5.8158521833125265</v>
      </c>
      <c r="F47" s="45">
        <f t="shared" si="0"/>
        <v>1.5874941948212928</v>
      </c>
      <c r="G47" s="44">
        <f t="shared" si="1"/>
        <v>1.5874941948212928</v>
      </c>
      <c r="H47" s="44"/>
      <c r="I47" s="44"/>
      <c r="J47" s="44"/>
    </row>
    <row r="48" spans="1:10" ht="15" customHeight="1" x14ac:dyDescent="0.3">
      <c r="A48" s="44" t="s">
        <v>64</v>
      </c>
      <c r="B48" s="44" t="s">
        <v>21</v>
      </c>
      <c r="C48" s="45">
        <v>69.5</v>
      </c>
      <c r="D48" s="45">
        <f>AVERAGEIF(graduates!$B$2:$B$301,$B48,graduates!$C$2:$C$301)</f>
        <v>77.667368421052629</v>
      </c>
      <c r="E48" s="45">
        <f>SQRT(SUMPRODUCT((graduates!$B$2:$B$301=$B48)*(graduates!$C$2:$C$301-D48)^2)/(COUNTIF(graduates!$B$2:$B$301,$B48)-1))</f>
        <v>5.8158521833125265</v>
      </c>
      <c r="F48" s="45">
        <f t="shared" si="0"/>
        <v>-1.4043287490158927</v>
      </c>
      <c r="G48" s="44">
        <f t="shared" si="1"/>
        <v>-1.4043287490158927</v>
      </c>
      <c r="H48" s="44"/>
      <c r="I48" s="44"/>
      <c r="J48" s="44"/>
    </row>
    <row r="49" spans="1:10" ht="15" customHeight="1" x14ac:dyDescent="0.3">
      <c r="A49" s="44" t="s">
        <v>65</v>
      </c>
      <c r="B49" s="44" t="s">
        <v>21</v>
      </c>
      <c r="C49" s="45">
        <v>81</v>
      </c>
      <c r="D49" s="45">
        <f>AVERAGEIF(graduates!$B$2:$B$301,$B49,graduates!$C$2:$C$301)</f>
        <v>77.667368421052629</v>
      </c>
      <c r="E49" s="45">
        <f>SQRT(SUMPRODUCT((graduates!$B$2:$B$301=$B49)*(graduates!$C$2:$C$301-D49)^2)/(COUNTIF(graduates!$B$2:$B$301,$B49)-1))</f>
        <v>5.8158521833125265</v>
      </c>
      <c r="F49" s="45">
        <f t="shared" si="0"/>
        <v>0.57302549547420045</v>
      </c>
      <c r="G49" s="44">
        <f t="shared" si="1"/>
        <v>0.57302549547420045</v>
      </c>
      <c r="H49" s="44"/>
      <c r="I49" s="44"/>
      <c r="J49" s="44"/>
    </row>
    <row r="50" spans="1:10" ht="15" customHeight="1" x14ac:dyDescent="0.3">
      <c r="A50" s="44" t="s">
        <v>66</v>
      </c>
      <c r="B50" s="44" t="s">
        <v>21</v>
      </c>
      <c r="C50" s="45">
        <v>71.2</v>
      </c>
      <c r="D50" s="45">
        <f>AVERAGEIF(graduates!$B$2:$B$301,$B50,graduates!$C$2:$C$301)</f>
        <v>77.667368421052629</v>
      </c>
      <c r="E50" s="45">
        <f>SQRT(SUMPRODUCT((graduates!$B$2:$B$301=$B50)*(graduates!$C$2:$C$301-D50)^2)/(COUNTIF(graduates!$B$2:$B$301,$B50)-1))</f>
        <v>5.8158521833125265</v>
      </c>
      <c r="F50" s="45">
        <f t="shared" si="0"/>
        <v>-1.1120242085260523</v>
      </c>
      <c r="G50" s="44">
        <f t="shared" si="1"/>
        <v>-1.1120242085260523</v>
      </c>
      <c r="H50" s="44"/>
      <c r="I50" s="44"/>
      <c r="J50" s="44"/>
    </row>
    <row r="51" spans="1:10" ht="15" customHeight="1" x14ac:dyDescent="0.3">
      <c r="A51" s="44" t="s">
        <v>67</v>
      </c>
      <c r="B51" s="44" t="s">
        <v>21</v>
      </c>
      <c r="C51" s="45">
        <v>84.9</v>
      </c>
      <c r="D51" s="45">
        <f>AVERAGEIF(graduates!$B$2:$B$301,$B51,graduates!$C$2:$C$301)</f>
        <v>77.667368421052629</v>
      </c>
      <c r="E51" s="45">
        <f>SQRT(SUMPRODUCT((graduates!$B$2:$B$301=$B51)*(graduates!$C$2:$C$301-D51)^2)/(COUNTIF(graduates!$B$2:$B$301,$B51)-1))</f>
        <v>5.8158521833125265</v>
      </c>
      <c r="F51" s="45">
        <f t="shared" si="0"/>
        <v>1.2436065001273635</v>
      </c>
      <c r="G51" s="44">
        <f t="shared" si="1"/>
        <v>1.2436065001273635</v>
      </c>
      <c r="H51" s="44"/>
      <c r="I51" s="44"/>
      <c r="J51" s="44"/>
    </row>
    <row r="52" spans="1:10" ht="15" customHeight="1" x14ac:dyDescent="0.3">
      <c r="A52" s="44" t="s">
        <v>68</v>
      </c>
      <c r="B52" s="44" t="s">
        <v>21</v>
      </c>
      <c r="C52" s="45">
        <v>86.4</v>
      </c>
      <c r="D52" s="45">
        <f>AVERAGEIF(graduates!$B$2:$B$301,$B52,graduates!$C$2:$C$301)</f>
        <v>77.667368421052629</v>
      </c>
      <c r="E52" s="45">
        <f>SQRT(SUMPRODUCT((graduates!$B$2:$B$301=$B52)*(graduates!$C$2:$C$301-D52)^2)/(COUNTIF(graduates!$B$2:$B$301,$B52)-1))</f>
        <v>5.8158521833125265</v>
      </c>
      <c r="F52" s="45">
        <f t="shared" si="0"/>
        <v>1.5015222711478105</v>
      </c>
      <c r="G52" s="44">
        <f t="shared" si="1"/>
        <v>1.5015222711478105</v>
      </c>
      <c r="H52" s="44"/>
      <c r="I52" s="44"/>
      <c r="J52" s="44"/>
    </row>
    <row r="53" spans="1:10" ht="15" customHeight="1" x14ac:dyDescent="0.3">
      <c r="A53" s="44" t="s">
        <v>69</v>
      </c>
      <c r="B53" s="44" t="s">
        <v>21</v>
      </c>
      <c r="C53" s="45">
        <v>79.400000000000006</v>
      </c>
      <c r="D53" s="45">
        <f>AVERAGEIF(graduates!$B$2:$B$301,$B53,graduates!$C$2:$C$301)</f>
        <v>77.667368421052629</v>
      </c>
      <c r="E53" s="45">
        <f>SQRT(SUMPRODUCT((graduates!$B$2:$B$301=$B53)*(graduates!$C$2:$C$301-D53)^2)/(COUNTIF(graduates!$B$2:$B$301,$B53)-1))</f>
        <v>5.8158521833125265</v>
      </c>
      <c r="F53" s="45">
        <f t="shared" si="0"/>
        <v>0.29791533971905804</v>
      </c>
      <c r="G53" s="44">
        <f t="shared" si="1"/>
        <v>0.29791533971905804</v>
      </c>
      <c r="H53" s="44"/>
      <c r="I53" s="44"/>
      <c r="J53" s="44"/>
    </row>
    <row r="54" spans="1:10" ht="15" customHeight="1" x14ac:dyDescent="0.3">
      <c r="A54" s="44" t="s">
        <v>70</v>
      </c>
      <c r="B54" s="44" t="s">
        <v>21</v>
      </c>
      <c r="C54" s="45">
        <v>78.3</v>
      </c>
      <c r="D54" s="45">
        <f>AVERAGEIF(graduates!$B$2:$B$301,$B54,graduates!$C$2:$C$301)</f>
        <v>77.667368421052629</v>
      </c>
      <c r="E54" s="45">
        <f>SQRT(SUMPRODUCT((graduates!$B$2:$B$301=$B54)*(graduates!$C$2:$C$301-D54)^2)/(COUNTIF(graduates!$B$2:$B$301,$B54)-1))</f>
        <v>5.8158521833125265</v>
      </c>
      <c r="F54" s="45">
        <f t="shared" si="0"/>
        <v>0.10877710763739548</v>
      </c>
      <c r="G54" s="44">
        <f t="shared" si="1"/>
        <v>0.10877710763739548</v>
      </c>
      <c r="H54" s="44"/>
      <c r="I54" s="44"/>
      <c r="J54" s="44"/>
    </row>
    <row r="55" spans="1:10" ht="15" customHeight="1" x14ac:dyDescent="0.3">
      <c r="A55" s="44" t="s">
        <v>71</v>
      </c>
      <c r="B55" s="44" t="s">
        <v>21</v>
      </c>
      <c r="C55" s="45">
        <v>84.3</v>
      </c>
      <c r="D55" s="45">
        <f>AVERAGEIF(graduates!$B$2:$B$301,$B55,graduates!$C$2:$C$301)</f>
        <v>77.667368421052629</v>
      </c>
      <c r="E55" s="45">
        <f>SQRT(SUMPRODUCT((graduates!$B$2:$B$301=$B55)*(graduates!$C$2:$C$301-D55)^2)/(COUNTIF(graduates!$B$2:$B$301,$B55)-1))</f>
        <v>5.8158521833125265</v>
      </c>
      <c r="F55" s="45">
        <f t="shared" si="0"/>
        <v>1.1404401917191833</v>
      </c>
      <c r="G55" s="44">
        <f t="shared" si="1"/>
        <v>1.1404401917191833</v>
      </c>
      <c r="H55" s="44"/>
      <c r="I55" s="44"/>
      <c r="J55" s="44"/>
    </row>
    <row r="56" spans="1:10" ht="15" customHeight="1" x14ac:dyDescent="0.3">
      <c r="A56" s="44" t="s">
        <v>72</v>
      </c>
      <c r="B56" s="44" t="s">
        <v>21</v>
      </c>
      <c r="C56" s="45">
        <v>76.099999999999994</v>
      </c>
      <c r="D56" s="45">
        <f>AVERAGEIF(graduates!$B$2:$B$301,$B56,graduates!$C$2:$C$301)</f>
        <v>77.667368421052629</v>
      </c>
      <c r="E56" s="45">
        <f>SQRT(SUMPRODUCT((graduates!$B$2:$B$301=$B56)*(graduates!$C$2:$C$301-D56)^2)/(COUNTIF(graduates!$B$2:$B$301,$B56)-1))</f>
        <v>5.8158521833125265</v>
      </c>
      <c r="F56" s="45">
        <f t="shared" si="0"/>
        <v>-0.26949935652592721</v>
      </c>
      <c r="G56" s="44">
        <f t="shared" si="1"/>
        <v>-0.26949935652592721</v>
      </c>
      <c r="H56" s="44"/>
      <c r="I56" s="44"/>
      <c r="J56" s="44"/>
    </row>
    <row r="57" spans="1:10" ht="15" customHeight="1" x14ac:dyDescent="0.3">
      <c r="A57" s="44" t="s">
        <v>73</v>
      </c>
      <c r="B57" s="44" t="s">
        <v>21</v>
      </c>
      <c r="C57" s="45">
        <v>84.7</v>
      </c>
      <c r="D57" s="45">
        <f>AVERAGEIF(graduates!$B$2:$B$301,$B57,graduates!$C$2:$C$301)</f>
        <v>77.667368421052629</v>
      </c>
      <c r="E57" s="45">
        <f>SQRT(SUMPRODUCT((graduates!$B$2:$B$301=$B57)*(graduates!$C$2:$C$301-D57)^2)/(COUNTIF(graduates!$B$2:$B$301,$B57)-1))</f>
        <v>5.8158521833125265</v>
      </c>
      <c r="F57" s="45">
        <f t="shared" si="0"/>
        <v>1.2092177306579701</v>
      </c>
      <c r="G57" s="44">
        <f t="shared" si="1"/>
        <v>1.2092177306579701</v>
      </c>
      <c r="H57" s="44"/>
      <c r="I57" s="44"/>
      <c r="J57" s="44"/>
    </row>
    <row r="58" spans="1:10" ht="15" customHeight="1" x14ac:dyDescent="0.3">
      <c r="A58" s="44" t="s">
        <v>74</v>
      </c>
      <c r="B58" s="44" t="s">
        <v>21</v>
      </c>
      <c r="C58" s="45">
        <v>77.3</v>
      </c>
      <c r="D58" s="45">
        <f>AVERAGEIF(graduates!$B$2:$B$301,$B58,graduates!$C$2:$C$301)</f>
        <v>77.667368421052629</v>
      </c>
      <c r="E58" s="45">
        <f>SQRT(SUMPRODUCT((graduates!$B$2:$B$301=$B58)*(graduates!$C$2:$C$301-D58)^2)/(COUNTIF(graduates!$B$2:$B$301,$B58)-1))</f>
        <v>5.8158521833125265</v>
      </c>
      <c r="F58" s="45">
        <f t="shared" si="0"/>
        <v>-6.3166739709569153E-2</v>
      </c>
      <c r="G58" s="44">
        <f t="shared" si="1"/>
        <v>-6.3166739709569153E-2</v>
      </c>
      <c r="H58" s="44"/>
      <c r="I58" s="44"/>
      <c r="J58" s="44"/>
    </row>
    <row r="59" spans="1:10" ht="15" customHeight="1" x14ac:dyDescent="0.3">
      <c r="A59" s="44" t="s">
        <v>75</v>
      </c>
      <c r="B59" s="44" t="s">
        <v>21</v>
      </c>
      <c r="C59" s="45">
        <v>85.3</v>
      </c>
      <c r="D59" s="45">
        <f>AVERAGEIF(graduates!$B$2:$B$301,$B59,graduates!$C$2:$C$301)</f>
        <v>77.667368421052629</v>
      </c>
      <c r="E59" s="45">
        <f>SQRT(SUMPRODUCT((graduates!$B$2:$B$301=$B59)*(graduates!$C$2:$C$301-D59)^2)/(COUNTIF(graduates!$B$2:$B$301,$B59)-1))</f>
        <v>5.8158521833125265</v>
      </c>
      <c r="F59" s="45">
        <f t="shared" si="0"/>
        <v>1.3123840390661479</v>
      </c>
      <c r="G59" s="44">
        <f t="shared" si="1"/>
        <v>1.3123840390661479</v>
      </c>
      <c r="H59" s="44"/>
      <c r="I59" s="44"/>
      <c r="J59" s="44"/>
    </row>
    <row r="60" spans="1:10" ht="15" customHeight="1" x14ac:dyDescent="0.3">
      <c r="A60" s="44" t="s">
        <v>76</v>
      </c>
      <c r="B60" s="44" t="s">
        <v>21</v>
      </c>
      <c r="C60" s="45">
        <v>81.2</v>
      </c>
      <c r="D60" s="45">
        <f>AVERAGEIF(graduates!$B$2:$B$301,$B60,graduates!$C$2:$C$301)</f>
        <v>77.667368421052629</v>
      </c>
      <c r="E60" s="45">
        <f>SQRT(SUMPRODUCT((graduates!$B$2:$B$301=$B60)*(graduates!$C$2:$C$301-D60)^2)/(COUNTIF(graduates!$B$2:$B$301,$B60)-1))</f>
        <v>5.8158521833125265</v>
      </c>
      <c r="F60" s="45">
        <f t="shared" si="0"/>
        <v>0.60741426494359385</v>
      </c>
      <c r="G60" s="44">
        <f t="shared" si="1"/>
        <v>0.60741426494359385</v>
      </c>
      <c r="H60" s="44"/>
      <c r="I60" s="44"/>
      <c r="J60" s="44"/>
    </row>
    <row r="61" spans="1:10" ht="15" customHeight="1" x14ac:dyDescent="0.3">
      <c r="A61" s="44" t="s">
        <v>77</v>
      </c>
      <c r="B61" s="44" t="s">
        <v>21</v>
      </c>
      <c r="C61" s="45">
        <v>76.900000000000006</v>
      </c>
      <c r="D61" s="45">
        <f>AVERAGEIF(graduates!$B$2:$B$301,$B61,graduates!$C$2:$C$301)</f>
        <v>77.667368421052629</v>
      </c>
      <c r="E61" s="45">
        <f>SQRT(SUMPRODUCT((graduates!$B$2:$B$301=$B61)*(graduates!$C$2:$C$301-D61)^2)/(COUNTIF(graduates!$B$2:$B$301,$B61)-1))</f>
        <v>5.8158521833125265</v>
      </c>
      <c r="F61" s="45">
        <f t="shared" si="0"/>
        <v>-0.13194427864835354</v>
      </c>
      <c r="G61" s="44">
        <f t="shared" si="1"/>
        <v>-0.13194427864835354</v>
      </c>
      <c r="H61" s="44"/>
      <c r="I61" s="44"/>
      <c r="J61" s="44"/>
    </row>
    <row r="62" spans="1:10" ht="15" customHeight="1" x14ac:dyDescent="0.3">
      <c r="A62" s="44" t="s">
        <v>78</v>
      </c>
      <c r="B62" s="44" t="s">
        <v>21</v>
      </c>
      <c r="C62" s="45">
        <v>60.7</v>
      </c>
      <c r="D62" s="45">
        <f>AVERAGEIF(graduates!$B$2:$B$301,$B62,graduates!$C$2:$C$301)</f>
        <v>77.667368421052629</v>
      </c>
      <c r="E62" s="45">
        <f>SQRT(SUMPRODUCT((graduates!$B$2:$B$301=$B62)*(graduates!$C$2:$C$301-D62)^2)/(COUNTIF(graduates!$B$2:$B$301,$B62)-1))</f>
        <v>5.8158521833125265</v>
      </c>
      <c r="F62" s="45">
        <f t="shared" si="0"/>
        <v>-2.9174346056691811</v>
      </c>
      <c r="G62" s="44">
        <f t="shared" si="1"/>
        <v>-2.9174346056691811</v>
      </c>
      <c r="H62" s="44"/>
      <c r="I62" s="44"/>
      <c r="J62" s="44"/>
    </row>
    <row r="63" spans="1:10" ht="15" customHeight="1" x14ac:dyDescent="0.3">
      <c r="A63" s="44" t="s">
        <v>79</v>
      </c>
      <c r="B63" s="44" t="s">
        <v>21</v>
      </c>
      <c r="C63" s="45">
        <v>72.5</v>
      </c>
      <c r="D63" s="45">
        <f>AVERAGEIF(graduates!$B$2:$B$301,$B63,graduates!$C$2:$C$301)</f>
        <v>77.667368421052629</v>
      </c>
      <c r="E63" s="45">
        <f>SQRT(SUMPRODUCT((graduates!$B$2:$B$301=$B63)*(graduates!$C$2:$C$301-D63)^2)/(COUNTIF(graduates!$B$2:$B$301,$B63)-1))</f>
        <v>5.8158521833125265</v>
      </c>
      <c r="F63" s="45">
        <f t="shared" si="0"/>
        <v>-0.8884972069749989</v>
      </c>
      <c r="G63" s="44">
        <f t="shared" si="1"/>
        <v>-0.8884972069749989</v>
      </c>
      <c r="H63" s="44"/>
      <c r="I63" s="44"/>
      <c r="J63" s="44"/>
    </row>
    <row r="64" spans="1:10" ht="15" customHeight="1" x14ac:dyDescent="0.3">
      <c r="A64" s="44" t="s">
        <v>80</v>
      </c>
      <c r="B64" s="44" t="s">
        <v>21</v>
      </c>
      <c r="C64" s="45">
        <v>78</v>
      </c>
      <c r="D64" s="45">
        <f>AVERAGEIF(graduates!$B$2:$B$301,$B64,graduates!$C$2:$C$301)</f>
        <v>77.667368421052629</v>
      </c>
      <c r="E64" s="45">
        <f>SQRT(SUMPRODUCT((graduates!$B$2:$B$301=$B64)*(graduates!$C$2:$C$301-D64)^2)/(COUNTIF(graduates!$B$2:$B$301,$B64)-1))</f>
        <v>5.8158521833125265</v>
      </c>
      <c r="F64" s="45">
        <f t="shared" si="0"/>
        <v>5.7193953433306584E-2</v>
      </c>
      <c r="G64" s="44">
        <f t="shared" si="1"/>
        <v>5.7193953433306584E-2</v>
      </c>
      <c r="H64" s="44"/>
      <c r="I64" s="44"/>
      <c r="J64" s="44"/>
    </row>
    <row r="65" spans="1:10" ht="15" customHeight="1" x14ac:dyDescent="0.3">
      <c r="A65" s="44" t="s">
        <v>81</v>
      </c>
      <c r="B65" s="44" t="s">
        <v>21</v>
      </c>
      <c r="C65" s="45">
        <v>77.2</v>
      </c>
      <c r="D65" s="45">
        <f>AVERAGEIF(graduates!$B$2:$B$301,$B65,graduates!$C$2:$C$301)</f>
        <v>77.667368421052629</v>
      </c>
      <c r="E65" s="45">
        <f>SQRT(SUMPRODUCT((graduates!$B$2:$B$301=$B65)*(graduates!$C$2:$C$301-D65)^2)/(COUNTIF(graduates!$B$2:$B$301,$B65)-1))</f>
        <v>5.8158521833125265</v>
      </c>
      <c r="F65" s="45">
        <f t="shared" si="0"/>
        <v>-8.0361124444264631E-2</v>
      </c>
      <c r="G65" s="44">
        <f t="shared" si="1"/>
        <v>-8.0361124444264631E-2</v>
      </c>
      <c r="H65" s="44"/>
      <c r="I65" s="44"/>
      <c r="J65" s="44"/>
    </row>
    <row r="66" spans="1:10" ht="15" customHeight="1" x14ac:dyDescent="0.3">
      <c r="A66" s="44" t="s">
        <v>82</v>
      </c>
      <c r="B66" s="44" t="s">
        <v>21</v>
      </c>
      <c r="C66" s="45">
        <v>74.7</v>
      </c>
      <c r="D66" s="45">
        <f>AVERAGEIF(graduates!$B$2:$B$301,$B66,graduates!$C$2:$C$301)</f>
        <v>77.667368421052629</v>
      </c>
      <c r="E66" s="45">
        <f>SQRT(SUMPRODUCT((graduates!$B$2:$B$301=$B66)*(graduates!$C$2:$C$301-D66)^2)/(COUNTIF(graduates!$B$2:$B$301,$B66)-1))</f>
        <v>5.8158521833125265</v>
      </c>
      <c r="F66" s="45">
        <f t="shared" si="0"/>
        <v>-0.51022074281167618</v>
      </c>
      <c r="G66" s="44">
        <f t="shared" si="1"/>
        <v>-0.51022074281167618</v>
      </c>
      <c r="H66" s="44"/>
      <c r="I66" s="44"/>
      <c r="J66" s="44"/>
    </row>
    <row r="67" spans="1:10" ht="15" customHeight="1" x14ac:dyDescent="0.3">
      <c r="A67" s="44" t="s">
        <v>83</v>
      </c>
      <c r="B67" s="44" t="s">
        <v>21</v>
      </c>
      <c r="C67" s="45">
        <v>72.900000000000006</v>
      </c>
      <c r="D67" s="45">
        <f>AVERAGEIF(graduates!$B$2:$B$301,$B67,graduates!$C$2:$C$301)</f>
        <v>77.667368421052629</v>
      </c>
      <c r="E67" s="45">
        <f>SQRT(SUMPRODUCT((graduates!$B$2:$B$301=$B67)*(graduates!$C$2:$C$301-D67)^2)/(COUNTIF(graduates!$B$2:$B$301,$B67)-1))</f>
        <v>5.8158521833125265</v>
      </c>
      <c r="F67" s="45">
        <f t="shared" si="0"/>
        <v>-0.81971966803621199</v>
      </c>
      <c r="G67" s="44">
        <f t="shared" si="1"/>
        <v>-0.81971966803621199</v>
      </c>
      <c r="H67" s="44"/>
      <c r="I67" s="44"/>
      <c r="J67" s="44"/>
    </row>
    <row r="68" spans="1:10" ht="15" customHeight="1" x14ac:dyDescent="0.3">
      <c r="A68" s="44" t="s">
        <v>84</v>
      </c>
      <c r="B68" s="44" t="s">
        <v>21</v>
      </c>
      <c r="C68" s="45">
        <v>78.400000000000006</v>
      </c>
      <c r="D68" s="45">
        <f>AVERAGEIF(graduates!$B$2:$B$301,$B68,graduates!$C$2:$C$301)</f>
        <v>77.667368421052629</v>
      </c>
      <c r="E68" s="45">
        <f>SQRT(SUMPRODUCT((graduates!$B$2:$B$301=$B68)*(graduates!$C$2:$C$301-D68)^2)/(COUNTIF(graduates!$B$2:$B$301,$B68)-1))</f>
        <v>5.8158521833125265</v>
      </c>
      <c r="F68" s="45">
        <f t="shared" si="0"/>
        <v>0.1259714923720934</v>
      </c>
      <c r="G68" s="44">
        <f t="shared" si="1"/>
        <v>0.1259714923720934</v>
      </c>
      <c r="H68" s="44"/>
      <c r="I68" s="44"/>
      <c r="J68" s="44"/>
    </row>
    <row r="69" spans="1:10" ht="15" customHeight="1" x14ac:dyDescent="0.3">
      <c r="A69" s="44" t="s">
        <v>85</v>
      </c>
      <c r="B69" s="44" t="s">
        <v>21</v>
      </c>
      <c r="C69" s="45">
        <v>71.8</v>
      </c>
      <c r="D69" s="45">
        <f>AVERAGEIF(graduates!$B$2:$B$301,$B69,graduates!$C$2:$C$301)</f>
        <v>77.667368421052629</v>
      </c>
      <c r="E69" s="45">
        <f>SQRT(SUMPRODUCT((graduates!$B$2:$B$301=$B69)*(graduates!$C$2:$C$301-D69)^2)/(COUNTIF(graduates!$B$2:$B$301,$B69)-1))</f>
        <v>5.8158521833125265</v>
      </c>
      <c r="F69" s="45">
        <f t="shared" ref="F69:F132" si="2">(C69-D69)/E69</f>
        <v>-1.0088579001178746</v>
      </c>
      <c r="G69" s="44">
        <f t="shared" ref="G69:G132" si="3">(C69-D69)/E69</f>
        <v>-1.0088579001178746</v>
      </c>
      <c r="H69" s="44"/>
      <c r="I69" s="44"/>
      <c r="J69" s="44"/>
    </row>
    <row r="70" spans="1:10" ht="15" customHeight="1" x14ac:dyDescent="0.3">
      <c r="A70" s="44" t="s">
        <v>86</v>
      </c>
      <c r="B70" s="44" t="s">
        <v>21</v>
      </c>
      <c r="C70" s="45">
        <v>76.599999999999994</v>
      </c>
      <c r="D70" s="45">
        <f>AVERAGEIF(graduates!$B$2:$B$301,$B70,graduates!$C$2:$C$301)</f>
        <v>77.667368421052629</v>
      </c>
      <c r="E70" s="45">
        <f>SQRT(SUMPRODUCT((graduates!$B$2:$B$301=$B70)*(graduates!$C$2:$C$301-D70)^2)/(COUNTIF(graduates!$B$2:$B$301,$B70)-1))</f>
        <v>5.8158521833125265</v>
      </c>
      <c r="F70" s="45">
        <f t="shared" si="2"/>
        <v>-0.18352743285244488</v>
      </c>
      <c r="G70" s="44">
        <f t="shared" si="3"/>
        <v>-0.18352743285244488</v>
      </c>
      <c r="H70" s="44"/>
      <c r="I70" s="44"/>
      <c r="J70" s="44"/>
    </row>
    <row r="71" spans="1:10" ht="15" customHeight="1" x14ac:dyDescent="0.3">
      <c r="A71" s="44" t="s">
        <v>87</v>
      </c>
      <c r="B71" s="44" t="s">
        <v>21</v>
      </c>
      <c r="C71" s="45">
        <v>72.5</v>
      </c>
      <c r="D71" s="45">
        <f>AVERAGEIF(graduates!$B$2:$B$301,$B71,graduates!$C$2:$C$301)</f>
        <v>77.667368421052629</v>
      </c>
      <c r="E71" s="45">
        <f>SQRT(SUMPRODUCT((graduates!$B$2:$B$301=$B71)*(graduates!$C$2:$C$301-D71)^2)/(COUNTIF(graduates!$B$2:$B$301,$B71)-1))</f>
        <v>5.8158521833125265</v>
      </c>
      <c r="F71" s="45">
        <f t="shared" si="2"/>
        <v>-0.8884972069749989</v>
      </c>
      <c r="G71" s="44">
        <f t="shared" si="3"/>
        <v>-0.8884972069749989</v>
      </c>
      <c r="H71" s="44"/>
      <c r="I71" s="44"/>
      <c r="J71" s="44"/>
    </row>
    <row r="72" spans="1:10" ht="15" customHeight="1" x14ac:dyDescent="0.3">
      <c r="A72" s="44" t="s">
        <v>88</v>
      </c>
      <c r="B72" s="44" t="s">
        <v>21</v>
      </c>
      <c r="C72" s="45">
        <v>86.5</v>
      </c>
      <c r="D72" s="45">
        <f>AVERAGEIF(graduates!$B$2:$B$301,$B72,graduates!$C$2:$C$301)</f>
        <v>77.667368421052629</v>
      </c>
      <c r="E72" s="45">
        <f>SQRT(SUMPRODUCT((graduates!$B$2:$B$301=$B72)*(graduates!$C$2:$C$301-D72)^2)/(COUNTIF(graduates!$B$2:$B$301,$B72)-1))</f>
        <v>5.8158521833125265</v>
      </c>
      <c r="F72" s="45">
        <f t="shared" si="2"/>
        <v>1.5187166558825058</v>
      </c>
      <c r="G72" s="44">
        <f t="shared" si="3"/>
        <v>1.5187166558825058</v>
      </c>
      <c r="H72" s="44"/>
      <c r="I72" s="44"/>
      <c r="J72" s="44"/>
    </row>
    <row r="73" spans="1:10" ht="15" customHeight="1" x14ac:dyDescent="0.3">
      <c r="A73" s="44" t="s">
        <v>89</v>
      </c>
      <c r="B73" s="44" t="s">
        <v>21</v>
      </c>
      <c r="C73" s="45">
        <v>77.5</v>
      </c>
      <c r="D73" s="45">
        <f>AVERAGEIF(graduates!$B$2:$B$301,$B73,graduates!$C$2:$C$301)</f>
        <v>77.667368421052629</v>
      </c>
      <c r="E73" s="45">
        <f>SQRT(SUMPRODUCT((graduates!$B$2:$B$301=$B73)*(graduates!$C$2:$C$301-D73)^2)/(COUNTIF(graduates!$B$2:$B$301,$B73)-1))</f>
        <v>5.8158521833125265</v>
      </c>
      <c r="F73" s="45">
        <f t="shared" si="2"/>
        <v>-2.8777970240175733E-2</v>
      </c>
      <c r="G73" s="44">
        <f t="shared" si="3"/>
        <v>-2.8777970240175733E-2</v>
      </c>
      <c r="H73" s="44"/>
      <c r="I73" s="44"/>
      <c r="J73" s="44"/>
    </row>
    <row r="74" spans="1:10" ht="15" customHeight="1" x14ac:dyDescent="0.3">
      <c r="A74" s="44" t="s">
        <v>90</v>
      </c>
      <c r="B74" s="44" t="s">
        <v>21</v>
      </c>
      <c r="C74" s="45">
        <v>77.3</v>
      </c>
      <c r="D74" s="45">
        <f>AVERAGEIF(graduates!$B$2:$B$301,$B74,graduates!$C$2:$C$301)</f>
        <v>77.667368421052629</v>
      </c>
      <c r="E74" s="45">
        <f>SQRT(SUMPRODUCT((graduates!$B$2:$B$301=$B74)*(graduates!$C$2:$C$301-D74)^2)/(COUNTIF(graduates!$B$2:$B$301,$B74)-1))</f>
        <v>5.8158521833125265</v>
      </c>
      <c r="F74" s="45">
        <f t="shared" si="2"/>
        <v>-6.3166739709569153E-2</v>
      </c>
      <c r="G74" s="44">
        <f t="shared" si="3"/>
        <v>-6.3166739709569153E-2</v>
      </c>
      <c r="H74" s="44"/>
      <c r="I74" s="44"/>
      <c r="J74" s="44"/>
    </row>
    <row r="75" spans="1:10" ht="15" customHeight="1" x14ac:dyDescent="0.3">
      <c r="A75" s="44" t="s">
        <v>91</v>
      </c>
      <c r="B75" s="44" t="s">
        <v>21</v>
      </c>
      <c r="C75" s="45">
        <v>77.099999999999994</v>
      </c>
      <c r="D75" s="45">
        <f>AVERAGEIF(graduates!$B$2:$B$301,$B75,graduates!$C$2:$C$301)</f>
        <v>77.667368421052629</v>
      </c>
      <c r="E75" s="45">
        <f>SQRT(SUMPRODUCT((graduates!$B$2:$B$301=$B75)*(graduates!$C$2:$C$301-D75)^2)/(COUNTIF(graduates!$B$2:$B$301,$B75)-1))</f>
        <v>5.8158521833125265</v>
      </c>
      <c r="F75" s="45">
        <f t="shared" si="2"/>
        <v>-9.7555509178962566E-2</v>
      </c>
      <c r="G75" s="44">
        <f t="shared" si="3"/>
        <v>-9.7555509178962566E-2</v>
      </c>
      <c r="H75" s="44"/>
      <c r="I75" s="44"/>
      <c r="J75" s="44"/>
    </row>
    <row r="76" spans="1:10" ht="15" customHeight="1" x14ac:dyDescent="0.3">
      <c r="A76" s="44" t="s">
        <v>92</v>
      </c>
      <c r="B76" s="44" t="s">
        <v>21</v>
      </c>
      <c r="C76" s="45">
        <v>77.400000000000006</v>
      </c>
      <c r="D76" s="45">
        <f>AVERAGEIF(graduates!$B$2:$B$301,$B76,graduates!$C$2:$C$301)</f>
        <v>77.667368421052629</v>
      </c>
      <c r="E76" s="45">
        <f>SQRT(SUMPRODUCT((graduates!$B$2:$B$301=$B76)*(graduates!$C$2:$C$301-D76)^2)/(COUNTIF(graduates!$B$2:$B$301,$B76)-1))</f>
        <v>5.8158521833125265</v>
      </c>
      <c r="F76" s="45">
        <f t="shared" si="2"/>
        <v>-4.5972354974871218E-2</v>
      </c>
      <c r="G76" s="44">
        <f t="shared" si="3"/>
        <v>-4.5972354974871218E-2</v>
      </c>
      <c r="H76" s="44"/>
      <c r="I76" s="44"/>
      <c r="J76" s="44"/>
    </row>
    <row r="77" spans="1:10" ht="15" customHeight="1" x14ac:dyDescent="0.3">
      <c r="A77" s="44" t="s">
        <v>93</v>
      </c>
      <c r="B77" s="44" t="s">
        <v>21</v>
      </c>
      <c r="C77" s="45">
        <v>67.3</v>
      </c>
      <c r="D77" s="45">
        <f>AVERAGEIF(graduates!$B$2:$B$301,$B77,graduates!$C$2:$C$301)</f>
        <v>77.667368421052629</v>
      </c>
      <c r="E77" s="45">
        <f>SQRT(SUMPRODUCT((graduates!$B$2:$B$301=$B77)*(graduates!$C$2:$C$301-D77)^2)/(COUNTIF(graduates!$B$2:$B$301,$B77)-1))</f>
        <v>5.8158521833125265</v>
      </c>
      <c r="F77" s="45">
        <f t="shared" si="2"/>
        <v>-1.7826052131792154</v>
      </c>
      <c r="G77" s="44">
        <f t="shared" si="3"/>
        <v>-1.7826052131792154</v>
      </c>
      <c r="H77" s="44"/>
      <c r="I77" s="44"/>
      <c r="J77" s="44"/>
    </row>
    <row r="78" spans="1:10" ht="15" customHeight="1" x14ac:dyDescent="0.3">
      <c r="A78" s="44" t="s">
        <v>94</v>
      </c>
      <c r="B78" s="44" t="s">
        <v>21</v>
      </c>
      <c r="C78" s="45">
        <v>72.400000000000006</v>
      </c>
      <c r="D78" s="45">
        <f>AVERAGEIF(graduates!$B$2:$B$301,$B78,graduates!$C$2:$C$301)</f>
        <v>77.667368421052629</v>
      </c>
      <c r="E78" s="45">
        <f>SQRT(SUMPRODUCT((graduates!$B$2:$B$301=$B78)*(graduates!$C$2:$C$301-D78)^2)/(COUNTIF(graduates!$B$2:$B$301,$B78)-1))</f>
        <v>5.8158521833125265</v>
      </c>
      <c r="F78" s="45">
        <f t="shared" si="2"/>
        <v>-0.90569159170969438</v>
      </c>
      <c r="G78" s="44">
        <f t="shared" si="3"/>
        <v>-0.90569159170969438</v>
      </c>
      <c r="H78" s="44"/>
      <c r="I78" s="44"/>
      <c r="J78" s="44"/>
    </row>
    <row r="79" spans="1:10" ht="15" customHeight="1" x14ac:dyDescent="0.3">
      <c r="A79" s="44" t="s">
        <v>95</v>
      </c>
      <c r="B79" s="44" t="s">
        <v>21</v>
      </c>
      <c r="C79" s="45">
        <v>81.900000000000006</v>
      </c>
      <c r="D79" s="45">
        <f>AVERAGEIF(graduates!$B$2:$B$301,$B79,graduates!$C$2:$C$301)</f>
        <v>77.667368421052629</v>
      </c>
      <c r="E79" s="45">
        <f>SQRT(SUMPRODUCT((graduates!$B$2:$B$301=$B79)*(graduates!$C$2:$C$301-D79)^2)/(COUNTIF(graduates!$B$2:$B$301,$B79)-1))</f>
        <v>5.8158521833125265</v>
      </c>
      <c r="F79" s="45">
        <f t="shared" si="2"/>
        <v>0.72777495808646964</v>
      </c>
      <c r="G79" s="44">
        <f t="shared" si="3"/>
        <v>0.72777495808646964</v>
      </c>
      <c r="H79" s="44"/>
      <c r="I79" s="44"/>
      <c r="J79" s="44"/>
    </row>
    <row r="80" spans="1:10" ht="15" customHeight="1" x14ac:dyDescent="0.3">
      <c r="A80" s="44" t="s">
        <v>96</v>
      </c>
      <c r="B80" s="44" t="s">
        <v>21</v>
      </c>
      <c r="C80" s="45">
        <v>77.599999999999994</v>
      </c>
      <c r="D80" s="45">
        <f>AVERAGEIF(graduates!$B$2:$B$301,$B80,graduates!$C$2:$C$301)</f>
        <v>77.667368421052629</v>
      </c>
      <c r="E80" s="45">
        <f>SQRT(SUMPRODUCT((graduates!$B$2:$B$301=$B80)*(graduates!$C$2:$C$301-D80)^2)/(COUNTIF(graduates!$B$2:$B$301,$B80)-1))</f>
        <v>5.8158521833125265</v>
      </c>
      <c r="F80" s="45">
        <f t="shared" si="2"/>
        <v>-1.1583585505480247E-2</v>
      </c>
      <c r="G80" s="44">
        <f t="shared" si="3"/>
        <v>-1.1583585505480247E-2</v>
      </c>
      <c r="H80" s="44"/>
      <c r="I80" s="44"/>
      <c r="J80" s="44"/>
    </row>
    <row r="81" spans="1:10" ht="15" customHeight="1" x14ac:dyDescent="0.3">
      <c r="A81" s="44" t="s">
        <v>97</v>
      </c>
      <c r="B81" s="44" t="s">
        <v>21</v>
      </c>
      <c r="C81" s="45">
        <v>67.900000000000006</v>
      </c>
      <c r="D81" s="45">
        <f>AVERAGEIF(graduates!$B$2:$B$301,$B81,graduates!$C$2:$C$301)</f>
        <v>77.667368421052629</v>
      </c>
      <c r="E81" s="45">
        <f>SQRT(SUMPRODUCT((graduates!$B$2:$B$301=$B81)*(graduates!$C$2:$C$301-D81)^2)/(COUNTIF(graduates!$B$2:$B$301,$B81)-1))</f>
        <v>5.8158521833125265</v>
      </c>
      <c r="F81" s="45">
        <f t="shared" si="2"/>
        <v>-1.6794389047710352</v>
      </c>
      <c r="G81" s="44">
        <f t="shared" si="3"/>
        <v>-1.6794389047710352</v>
      </c>
      <c r="H81" s="44"/>
      <c r="I81" s="44"/>
      <c r="J81" s="44"/>
    </row>
    <row r="82" spans="1:10" ht="15" customHeight="1" x14ac:dyDescent="0.3">
      <c r="A82" s="44" t="s">
        <v>98</v>
      </c>
      <c r="B82" s="44" t="s">
        <v>21</v>
      </c>
      <c r="C82" s="45">
        <v>81.5</v>
      </c>
      <c r="D82" s="45">
        <f>AVERAGEIF(graduates!$B$2:$B$301,$B82,graduates!$C$2:$C$301)</f>
        <v>77.667368421052629</v>
      </c>
      <c r="E82" s="45">
        <f>SQRT(SUMPRODUCT((graduates!$B$2:$B$301=$B82)*(graduates!$C$2:$C$301-D82)^2)/(COUNTIF(graduates!$B$2:$B$301,$B82)-1))</f>
        <v>5.8158521833125265</v>
      </c>
      <c r="F82" s="45">
        <f t="shared" si="2"/>
        <v>0.65899741914768273</v>
      </c>
      <c r="G82" s="44">
        <f t="shared" si="3"/>
        <v>0.65899741914768273</v>
      </c>
      <c r="H82" s="44"/>
      <c r="I82" s="44"/>
      <c r="J82" s="44"/>
    </row>
    <row r="83" spans="1:10" ht="15" customHeight="1" x14ac:dyDescent="0.3">
      <c r="A83" s="44" t="s">
        <v>99</v>
      </c>
      <c r="B83" s="44" t="s">
        <v>21</v>
      </c>
      <c r="C83" s="45">
        <v>73.900000000000006</v>
      </c>
      <c r="D83" s="45">
        <f>AVERAGEIF(graduates!$B$2:$B$301,$B83,graduates!$C$2:$C$301)</f>
        <v>77.667368421052629</v>
      </c>
      <c r="E83" s="45">
        <f>SQRT(SUMPRODUCT((graduates!$B$2:$B$301=$B83)*(graduates!$C$2:$C$301-D83)^2)/(COUNTIF(graduates!$B$2:$B$301,$B83)-1))</f>
        <v>5.8158521833125265</v>
      </c>
      <c r="F83" s="45">
        <f t="shared" si="2"/>
        <v>-0.64777582068924744</v>
      </c>
      <c r="G83" s="44">
        <f t="shared" si="3"/>
        <v>-0.64777582068924744</v>
      </c>
      <c r="H83" s="44"/>
      <c r="I83" s="44"/>
      <c r="J83" s="44"/>
    </row>
    <row r="84" spans="1:10" ht="15" customHeight="1" x14ac:dyDescent="0.3">
      <c r="A84" s="44" t="s">
        <v>100</v>
      </c>
      <c r="B84" s="44" t="s">
        <v>21</v>
      </c>
      <c r="C84" s="45">
        <v>67.599999999999994</v>
      </c>
      <c r="D84" s="45">
        <f>AVERAGEIF(graduates!$B$2:$B$301,$B84,graduates!$C$2:$C$301)</f>
        <v>77.667368421052629</v>
      </c>
      <c r="E84" s="45">
        <f>SQRT(SUMPRODUCT((graduates!$B$2:$B$301=$B84)*(graduates!$C$2:$C$301-D84)^2)/(COUNTIF(graduates!$B$2:$B$301,$B84)-1))</f>
        <v>5.8158521833125265</v>
      </c>
      <c r="F84" s="45">
        <f t="shared" si="2"/>
        <v>-1.7310220589751266</v>
      </c>
      <c r="G84" s="44">
        <f t="shared" si="3"/>
        <v>-1.7310220589751266</v>
      </c>
      <c r="H84" s="44"/>
      <c r="I84" s="44"/>
      <c r="J84" s="44"/>
    </row>
    <row r="85" spans="1:10" ht="15" customHeight="1" x14ac:dyDescent="0.3">
      <c r="A85" s="44" t="s">
        <v>101</v>
      </c>
      <c r="B85" s="44" t="s">
        <v>21</v>
      </c>
      <c r="C85" s="45">
        <v>85.4</v>
      </c>
      <c r="D85" s="45">
        <f>AVERAGEIF(graduates!$B$2:$B$301,$B85,graduates!$C$2:$C$301)</f>
        <v>77.667368421052629</v>
      </c>
      <c r="E85" s="45">
        <f>SQRT(SUMPRODUCT((graduates!$B$2:$B$301=$B85)*(graduates!$C$2:$C$301-D85)^2)/(COUNTIF(graduates!$B$2:$B$301,$B85)-1))</f>
        <v>5.8158521833125265</v>
      </c>
      <c r="F85" s="45">
        <f t="shared" si="2"/>
        <v>1.3295784238008459</v>
      </c>
      <c r="G85" s="44">
        <f t="shared" si="3"/>
        <v>1.3295784238008459</v>
      </c>
      <c r="H85" s="44"/>
      <c r="I85" s="44"/>
      <c r="J85" s="44"/>
    </row>
    <row r="86" spans="1:10" ht="15" customHeight="1" x14ac:dyDescent="0.3">
      <c r="A86" s="44" t="s">
        <v>102</v>
      </c>
      <c r="B86" s="44" t="s">
        <v>21</v>
      </c>
      <c r="C86" s="45">
        <v>79.5</v>
      </c>
      <c r="D86" s="45">
        <f>AVERAGEIF(graduates!$B$2:$B$301,$B86,graduates!$C$2:$C$301)</f>
        <v>77.667368421052629</v>
      </c>
      <c r="E86" s="45">
        <f>SQRT(SUMPRODUCT((graduates!$B$2:$B$301=$B86)*(graduates!$C$2:$C$301-D86)^2)/(COUNTIF(graduates!$B$2:$B$301,$B86)-1))</f>
        <v>5.8158521833125265</v>
      </c>
      <c r="F86" s="45">
        <f t="shared" si="2"/>
        <v>0.31510972445375351</v>
      </c>
      <c r="G86" s="44">
        <f t="shared" si="3"/>
        <v>0.31510972445375351</v>
      </c>
      <c r="H86" s="44"/>
      <c r="I86" s="44"/>
      <c r="J86" s="44"/>
    </row>
    <row r="87" spans="1:10" ht="15" customHeight="1" x14ac:dyDescent="0.3">
      <c r="A87" s="44" t="s">
        <v>103</v>
      </c>
      <c r="B87" s="44" t="s">
        <v>21</v>
      </c>
      <c r="C87" s="45">
        <v>79.599999999999994</v>
      </c>
      <c r="D87" s="45">
        <f>AVERAGEIF(graduates!$B$2:$B$301,$B87,graduates!$C$2:$C$301)</f>
        <v>77.667368421052629</v>
      </c>
      <c r="E87" s="45">
        <f>SQRT(SUMPRODUCT((graduates!$B$2:$B$301=$B87)*(graduates!$C$2:$C$301-D87)^2)/(COUNTIF(graduates!$B$2:$B$301,$B87)-1))</f>
        <v>5.8158521833125265</v>
      </c>
      <c r="F87" s="45">
        <f t="shared" si="2"/>
        <v>0.33230410918844899</v>
      </c>
      <c r="G87" s="44">
        <f t="shared" si="3"/>
        <v>0.33230410918844899</v>
      </c>
      <c r="H87" s="44"/>
      <c r="I87" s="44"/>
      <c r="J87" s="44"/>
    </row>
    <row r="88" spans="1:10" ht="15" customHeight="1" x14ac:dyDescent="0.3">
      <c r="A88" s="44" t="s">
        <v>104</v>
      </c>
      <c r="B88" s="44" t="s">
        <v>21</v>
      </c>
      <c r="C88" s="45">
        <v>82.2</v>
      </c>
      <c r="D88" s="45">
        <f>AVERAGEIF(graduates!$B$2:$B$301,$B88,graduates!$C$2:$C$301)</f>
        <v>77.667368421052629</v>
      </c>
      <c r="E88" s="45">
        <f>SQRT(SUMPRODUCT((graduates!$B$2:$B$301=$B88)*(graduates!$C$2:$C$301-D88)^2)/(COUNTIF(graduates!$B$2:$B$301,$B88)-1))</f>
        <v>5.8158521833125265</v>
      </c>
      <c r="F88" s="45">
        <f t="shared" si="2"/>
        <v>0.77935811229055851</v>
      </c>
      <c r="G88" s="44">
        <f t="shared" si="3"/>
        <v>0.77935811229055851</v>
      </c>
      <c r="H88" s="44"/>
      <c r="I88" s="44"/>
      <c r="J88" s="44"/>
    </row>
    <row r="89" spans="1:10" ht="15" customHeight="1" x14ac:dyDescent="0.3">
      <c r="A89" s="44" t="s">
        <v>105</v>
      </c>
      <c r="B89" s="44" t="s">
        <v>21</v>
      </c>
      <c r="C89" s="45">
        <v>82.6</v>
      </c>
      <c r="D89" s="45">
        <f>AVERAGEIF(graduates!$B$2:$B$301,$B89,graduates!$C$2:$C$301)</f>
        <v>77.667368421052629</v>
      </c>
      <c r="E89" s="45">
        <f>SQRT(SUMPRODUCT((graduates!$B$2:$B$301=$B89)*(graduates!$C$2:$C$301-D89)^2)/(COUNTIF(graduates!$B$2:$B$301,$B89)-1))</f>
        <v>5.8158521833125265</v>
      </c>
      <c r="F89" s="45">
        <f t="shared" si="2"/>
        <v>0.84813565122934287</v>
      </c>
      <c r="G89" s="44">
        <f t="shared" si="3"/>
        <v>0.84813565122934287</v>
      </c>
      <c r="H89" s="44"/>
      <c r="I89" s="44"/>
      <c r="J89" s="44"/>
    </row>
    <row r="90" spans="1:10" ht="15" customHeight="1" x14ac:dyDescent="0.3">
      <c r="A90" s="44" t="s">
        <v>106</v>
      </c>
      <c r="B90" s="44" t="s">
        <v>21</v>
      </c>
      <c r="C90" s="45">
        <v>77.8</v>
      </c>
      <c r="D90" s="45">
        <f>AVERAGEIF(graduates!$B$2:$B$301,$B90,graduates!$C$2:$C$301)</f>
        <v>77.667368421052629</v>
      </c>
      <c r="E90" s="45">
        <f>SQRT(SUMPRODUCT((graduates!$B$2:$B$301=$B90)*(graduates!$C$2:$C$301-D90)^2)/(COUNTIF(graduates!$B$2:$B$301,$B90)-1))</f>
        <v>5.8158521833125265</v>
      </c>
      <c r="F90" s="45">
        <f t="shared" si="2"/>
        <v>2.2805183963913168E-2</v>
      </c>
      <c r="G90" s="44">
        <f t="shared" si="3"/>
        <v>2.2805183963913168E-2</v>
      </c>
      <c r="H90" s="44"/>
      <c r="I90" s="44"/>
      <c r="J90" s="44"/>
    </row>
    <row r="91" spans="1:10" ht="15" customHeight="1" x14ac:dyDescent="0.3">
      <c r="A91" s="44" t="s">
        <v>107</v>
      </c>
      <c r="B91" s="44" t="s">
        <v>21</v>
      </c>
      <c r="C91" s="45">
        <v>67.099999999999994</v>
      </c>
      <c r="D91" s="45">
        <f>AVERAGEIF(graduates!$B$2:$B$301,$B91,graduates!$C$2:$C$301)</f>
        <v>77.667368421052629</v>
      </c>
      <c r="E91" s="45">
        <f>SQRT(SUMPRODUCT((graduates!$B$2:$B$301=$B91)*(graduates!$C$2:$C$301-D91)^2)/(COUNTIF(graduates!$B$2:$B$301,$B91)-1))</f>
        <v>5.8158521833125265</v>
      </c>
      <c r="F91" s="45">
        <f t="shared" si="2"/>
        <v>-1.8169939826486088</v>
      </c>
      <c r="G91" s="44">
        <f t="shared" si="3"/>
        <v>-1.8169939826486088</v>
      </c>
      <c r="H91" s="44"/>
      <c r="I91" s="44"/>
      <c r="J91" s="44"/>
    </row>
    <row r="92" spans="1:10" ht="15" customHeight="1" x14ac:dyDescent="0.3">
      <c r="A92" s="44" t="s">
        <v>108</v>
      </c>
      <c r="B92" s="44" t="s">
        <v>21</v>
      </c>
      <c r="C92" s="45">
        <v>80.599999999999994</v>
      </c>
      <c r="D92" s="45">
        <f>AVERAGEIF(graduates!$B$2:$B$301,$B92,graduates!$C$2:$C$301)</f>
        <v>77.667368421052629</v>
      </c>
      <c r="E92" s="45">
        <f>SQRT(SUMPRODUCT((graduates!$B$2:$B$301=$B92)*(graduates!$C$2:$C$301-D92)^2)/(COUNTIF(graduates!$B$2:$B$301,$B92)-1))</f>
        <v>5.8158521833125265</v>
      </c>
      <c r="F92" s="45">
        <f t="shared" si="2"/>
        <v>0.50424795653541366</v>
      </c>
      <c r="G92" s="44">
        <f t="shared" si="3"/>
        <v>0.50424795653541366</v>
      </c>
      <c r="H92" s="44"/>
      <c r="I92" s="44"/>
      <c r="J92" s="44"/>
    </row>
    <row r="93" spans="1:10" ht="15" customHeight="1" x14ac:dyDescent="0.3">
      <c r="A93" s="44" t="s">
        <v>109</v>
      </c>
      <c r="B93" s="44" t="s">
        <v>21</v>
      </c>
      <c r="C93" s="45">
        <v>77.3</v>
      </c>
      <c r="D93" s="45">
        <f>AVERAGEIF(graduates!$B$2:$B$301,$B93,graduates!$C$2:$C$301)</f>
        <v>77.667368421052629</v>
      </c>
      <c r="E93" s="45">
        <f>SQRT(SUMPRODUCT((graduates!$B$2:$B$301=$B93)*(graduates!$C$2:$C$301-D93)^2)/(COUNTIF(graduates!$B$2:$B$301,$B93)-1))</f>
        <v>5.8158521833125265</v>
      </c>
      <c r="F93" s="45">
        <f t="shared" si="2"/>
        <v>-6.3166739709569153E-2</v>
      </c>
      <c r="G93" s="44">
        <f t="shared" si="3"/>
        <v>-6.3166739709569153E-2</v>
      </c>
      <c r="H93" s="44"/>
      <c r="I93" s="44"/>
      <c r="J93" s="44"/>
    </row>
    <row r="94" spans="1:10" ht="15" customHeight="1" x14ac:dyDescent="0.3">
      <c r="A94" s="44" t="s">
        <v>110</v>
      </c>
      <c r="B94" s="44" t="s">
        <v>21</v>
      </c>
      <c r="C94" s="45">
        <v>73.900000000000006</v>
      </c>
      <c r="D94" s="45">
        <f>AVERAGEIF(graduates!$B$2:$B$301,$B94,graduates!$C$2:$C$301)</f>
        <v>77.667368421052629</v>
      </c>
      <c r="E94" s="45">
        <f>SQRT(SUMPRODUCT((graduates!$B$2:$B$301=$B94)*(graduates!$C$2:$C$301-D94)^2)/(COUNTIF(graduates!$B$2:$B$301,$B94)-1))</f>
        <v>5.8158521833125265</v>
      </c>
      <c r="F94" s="45">
        <f t="shared" si="2"/>
        <v>-0.64777582068924744</v>
      </c>
      <c r="G94" s="44">
        <f t="shared" si="3"/>
        <v>-0.64777582068924744</v>
      </c>
      <c r="H94" s="44"/>
      <c r="I94" s="44"/>
      <c r="J94" s="44"/>
    </row>
    <row r="95" spans="1:10" ht="15" customHeight="1" x14ac:dyDescent="0.3">
      <c r="A95" s="44" t="s">
        <v>111</v>
      </c>
      <c r="B95" s="44" t="s">
        <v>21</v>
      </c>
      <c r="C95" s="45">
        <v>79.3</v>
      </c>
      <c r="D95" s="45">
        <f>AVERAGEIF(graduates!$B$2:$B$301,$B95,graduates!$C$2:$C$301)</f>
        <v>77.667368421052629</v>
      </c>
      <c r="E95" s="45">
        <f>SQRT(SUMPRODUCT((graduates!$B$2:$B$301=$B95)*(graduates!$C$2:$C$301-D95)^2)/(COUNTIF(graduates!$B$2:$B$301,$B95)-1))</f>
        <v>5.8158521833125265</v>
      </c>
      <c r="F95" s="45">
        <f t="shared" si="2"/>
        <v>0.28072095498436012</v>
      </c>
      <c r="G95" s="44">
        <f t="shared" si="3"/>
        <v>0.28072095498436012</v>
      </c>
      <c r="H95" s="44"/>
      <c r="I95" s="44"/>
      <c r="J95" s="44"/>
    </row>
    <row r="96" spans="1:10" ht="15" customHeight="1" x14ac:dyDescent="0.3">
      <c r="A96" s="44" t="s">
        <v>112</v>
      </c>
      <c r="B96" s="44" t="s">
        <v>21</v>
      </c>
      <c r="C96" s="45">
        <v>72.900000000000006</v>
      </c>
      <c r="D96" s="45">
        <f>AVERAGEIF(graduates!$B$2:$B$301,$B96,graduates!$C$2:$C$301)</f>
        <v>77.667368421052629</v>
      </c>
      <c r="E96" s="45">
        <f>SQRT(SUMPRODUCT((graduates!$B$2:$B$301=$B96)*(graduates!$C$2:$C$301-D96)^2)/(COUNTIF(graduates!$B$2:$B$301,$B96)-1))</f>
        <v>5.8158521833125265</v>
      </c>
      <c r="F96" s="45">
        <f t="shared" si="2"/>
        <v>-0.81971966803621199</v>
      </c>
      <c r="G96" s="44">
        <f t="shared" si="3"/>
        <v>-0.81971966803621199</v>
      </c>
      <c r="H96" s="44"/>
      <c r="I96" s="44"/>
      <c r="J96" s="44"/>
    </row>
    <row r="97" spans="1:10" ht="15" customHeight="1" x14ac:dyDescent="0.3">
      <c r="A97" s="44" t="s">
        <v>113</v>
      </c>
      <c r="B97" s="44" t="s">
        <v>21</v>
      </c>
      <c r="C97" s="45">
        <v>80.7</v>
      </c>
      <c r="D97" s="45">
        <f>AVERAGEIF(graduates!$B$2:$B$301,$B97,graduates!$C$2:$C$301)</f>
        <v>77.667368421052629</v>
      </c>
      <c r="E97" s="45">
        <f>SQRT(SUMPRODUCT((graduates!$B$2:$B$301=$B97)*(graduates!$C$2:$C$301-D97)^2)/(COUNTIF(graduates!$B$2:$B$301,$B97)-1))</f>
        <v>5.8158521833125265</v>
      </c>
      <c r="F97" s="45">
        <f t="shared" si="2"/>
        <v>0.52144234127011158</v>
      </c>
      <c r="G97" s="44">
        <f t="shared" si="3"/>
        <v>0.52144234127011158</v>
      </c>
      <c r="H97" s="44"/>
      <c r="I97" s="44"/>
      <c r="J97" s="44"/>
    </row>
    <row r="98" spans="1:10" ht="15" customHeight="1" x14ac:dyDescent="0.3">
      <c r="A98" s="44" t="s">
        <v>114</v>
      </c>
      <c r="B98" s="44" t="s">
        <v>21</v>
      </c>
      <c r="C98" s="45">
        <v>81.400000000000006</v>
      </c>
      <c r="D98" s="45">
        <f>AVERAGEIF(graduates!$B$2:$B$301,$B98,graduates!$C$2:$C$301)</f>
        <v>77.667368421052629</v>
      </c>
      <c r="E98" s="45">
        <f>SQRT(SUMPRODUCT((graduates!$B$2:$B$301=$B98)*(graduates!$C$2:$C$301-D98)^2)/(COUNTIF(graduates!$B$2:$B$301,$B98)-1))</f>
        <v>5.8158521833125265</v>
      </c>
      <c r="F98" s="45">
        <f t="shared" si="2"/>
        <v>0.64180303441298725</v>
      </c>
      <c r="G98" s="44">
        <f t="shared" si="3"/>
        <v>0.64180303441298725</v>
      </c>
      <c r="H98" s="44"/>
      <c r="I98" s="44"/>
      <c r="J98" s="44"/>
    </row>
    <row r="99" spans="1:10" ht="15" customHeight="1" x14ac:dyDescent="0.3">
      <c r="A99" s="44" t="s">
        <v>115</v>
      </c>
      <c r="B99" s="44" t="s">
        <v>21</v>
      </c>
      <c r="C99" s="45">
        <v>68.5</v>
      </c>
      <c r="D99" s="45">
        <f>AVERAGEIF(graduates!$B$2:$B$301,$B99,graduates!$C$2:$C$301)</f>
        <v>77.667368421052629</v>
      </c>
      <c r="E99" s="45">
        <f>SQRT(SUMPRODUCT((graduates!$B$2:$B$301=$B99)*(graduates!$C$2:$C$301-D99)^2)/(COUNTIF(graduates!$B$2:$B$301,$B99)-1))</f>
        <v>5.8158521833125265</v>
      </c>
      <c r="F99" s="45">
        <f t="shared" si="2"/>
        <v>-1.5762725963628574</v>
      </c>
      <c r="G99" s="44">
        <f t="shared" si="3"/>
        <v>-1.5762725963628574</v>
      </c>
      <c r="H99" s="44"/>
      <c r="I99" s="44"/>
      <c r="J99" s="44"/>
    </row>
    <row r="100" spans="1:10" ht="15" customHeight="1" x14ac:dyDescent="0.3">
      <c r="A100" s="44" t="s">
        <v>116</v>
      </c>
      <c r="B100" s="44" t="s">
        <v>117</v>
      </c>
      <c r="C100" s="45">
        <v>60.1</v>
      </c>
      <c r="D100" s="45">
        <f>AVERAGEIF(graduates!$B$2:$B$301,$B100,graduates!$C$2:$C$301)</f>
        <v>72.118181818181824</v>
      </c>
      <c r="E100" s="45">
        <f>SQRT(SUMPRODUCT((graduates!$B$2:$B$301=$B100)*(graduates!$C$2:$C$301-D100)^2)/(COUNTIF(graduates!$B$2:$B$301,$B100)-1))</f>
        <v>8.6421520501849649</v>
      </c>
      <c r="F100" s="45">
        <f t="shared" si="2"/>
        <v>-1.3906468838308164</v>
      </c>
      <c r="G100" s="44">
        <f t="shared" si="3"/>
        <v>-1.3906468838308164</v>
      </c>
      <c r="H100" s="44"/>
      <c r="I100" s="44"/>
      <c r="J100" s="44"/>
    </row>
    <row r="101" spans="1:10" ht="15" customHeight="1" x14ac:dyDescent="0.3">
      <c r="A101" s="44" t="s">
        <v>118</v>
      </c>
      <c r="B101" s="44" t="s">
        <v>117</v>
      </c>
      <c r="C101" s="45">
        <v>68.2</v>
      </c>
      <c r="D101" s="45">
        <f>AVERAGEIF(graduates!$B$2:$B$301,$B101,graduates!$C$2:$C$301)</f>
        <v>72.118181818181824</v>
      </c>
      <c r="E101" s="45">
        <f>SQRT(SUMPRODUCT((graduates!$B$2:$B$301=$B101)*(graduates!$C$2:$C$301-D101)^2)/(COUNTIF(graduates!$B$2:$B$301,$B101)-1))</f>
        <v>8.6421520501849649</v>
      </c>
      <c r="F101" s="45">
        <f t="shared" si="2"/>
        <v>-0.45338033807192296</v>
      </c>
      <c r="G101" s="44">
        <f t="shared" si="3"/>
        <v>-0.45338033807192296</v>
      </c>
      <c r="H101" s="44"/>
      <c r="I101" s="44"/>
      <c r="J101" s="44"/>
    </row>
    <row r="102" spans="1:10" ht="15" customHeight="1" x14ac:dyDescent="0.3">
      <c r="A102" s="44" t="s">
        <v>119</v>
      </c>
      <c r="B102" s="44" t="s">
        <v>117</v>
      </c>
      <c r="C102" s="45">
        <v>66.5</v>
      </c>
      <c r="D102" s="45">
        <f>AVERAGEIF(graduates!$B$2:$B$301,$B102,graduates!$C$2:$C$301)</f>
        <v>72.118181818181824</v>
      </c>
      <c r="E102" s="45">
        <f>SQRT(SUMPRODUCT((graduates!$B$2:$B$301=$B102)*(graduates!$C$2:$C$301-D102)^2)/(COUNTIF(graduates!$B$2:$B$301,$B102)-1))</f>
        <v>8.6421520501849649</v>
      </c>
      <c r="F102" s="45">
        <f t="shared" si="2"/>
        <v>-0.65009060076206138</v>
      </c>
      <c r="G102" s="44">
        <f t="shared" si="3"/>
        <v>-0.65009060076206138</v>
      </c>
      <c r="H102" s="44"/>
      <c r="I102" s="44"/>
      <c r="J102" s="44"/>
    </row>
    <row r="103" spans="1:10" ht="15" customHeight="1" x14ac:dyDescent="0.3">
      <c r="A103" s="44" t="s">
        <v>120</v>
      </c>
      <c r="B103" s="44" t="s">
        <v>117</v>
      </c>
      <c r="C103" s="45">
        <v>68.900000000000006</v>
      </c>
      <c r="D103" s="45">
        <f>AVERAGEIF(graduates!$B$2:$B$301,$B103,graduates!$C$2:$C$301)</f>
        <v>72.118181818181824</v>
      </c>
      <c r="E103" s="45">
        <f>SQRT(SUMPRODUCT((graduates!$B$2:$B$301=$B103)*(graduates!$C$2:$C$301-D103)^2)/(COUNTIF(graduates!$B$2:$B$301,$B103)-1))</f>
        <v>8.6421520501849649</v>
      </c>
      <c r="F103" s="45">
        <f t="shared" si="2"/>
        <v>-0.37238199461127752</v>
      </c>
      <c r="G103" s="44">
        <f t="shared" si="3"/>
        <v>-0.37238199461127752</v>
      </c>
      <c r="H103" s="44"/>
      <c r="I103" s="44"/>
      <c r="J103" s="44"/>
    </row>
    <row r="104" spans="1:10" ht="15" customHeight="1" x14ac:dyDescent="0.3">
      <c r="A104" s="44" t="s">
        <v>121</v>
      </c>
      <c r="B104" s="44" t="s">
        <v>117</v>
      </c>
      <c r="C104" s="45">
        <v>71.7</v>
      </c>
      <c r="D104" s="45">
        <f>AVERAGEIF(graduates!$B$2:$B$301,$B104,graduates!$C$2:$C$301)</f>
        <v>72.118181818181824</v>
      </c>
      <c r="E104" s="45">
        <f>SQRT(SUMPRODUCT((graduates!$B$2:$B$301=$B104)*(graduates!$C$2:$C$301-D104)^2)/(COUNTIF(graduates!$B$2:$B$301,$B104)-1))</f>
        <v>8.6421520501849649</v>
      </c>
      <c r="F104" s="45">
        <f t="shared" si="2"/>
        <v>-4.838862076869746E-2</v>
      </c>
      <c r="G104" s="44">
        <f t="shared" si="3"/>
        <v>-4.838862076869746E-2</v>
      </c>
      <c r="H104" s="44"/>
      <c r="I104" s="44"/>
      <c r="J104" s="44"/>
    </row>
    <row r="105" spans="1:10" ht="15" customHeight="1" x14ac:dyDescent="0.3">
      <c r="A105" s="44" t="s">
        <v>122</v>
      </c>
      <c r="B105" s="44" t="s">
        <v>117</v>
      </c>
      <c r="C105" s="45">
        <v>75.900000000000006</v>
      </c>
      <c r="D105" s="45">
        <f>AVERAGEIF(graduates!$B$2:$B$301,$B105,graduates!$C$2:$C$301)</f>
        <v>72.118181818181824</v>
      </c>
      <c r="E105" s="45">
        <f>SQRT(SUMPRODUCT((graduates!$B$2:$B$301=$B105)*(graduates!$C$2:$C$301-D105)^2)/(COUNTIF(graduates!$B$2:$B$301,$B105)-1))</f>
        <v>8.6421520501849649</v>
      </c>
      <c r="F105" s="45">
        <f t="shared" si="2"/>
        <v>0.43760143999517348</v>
      </c>
      <c r="G105" s="44">
        <f t="shared" si="3"/>
        <v>0.43760143999517348</v>
      </c>
      <c r="H105" s="44"/>
      <c r="I105" s="44"/>
      <c r="J105" s="44"/>
    </row>
    <row r="106" spans="1:10" ht="15" customHeight="1" x14ac:dyDescent="0.3">
      <c r="A106" s="44" t="s">
        <v>123</v>
      </c>
      <c r="B106" s="44" t="s">
        <v>117</v>
      </c>
      <c r="C106" s="45">
        <v>65</v>
      </c>
      <c r="D106" s="45">
        <f>AVERAGEIF(graduates!$B$2:$B$301,$B106,graduates!$C$2:$C$301)</f>
        <v>72.118181818181824</v>
      </c>
      <c r="E106" s="45">
        <f>SQRT(SUMPRODUCT((graduates!$B$2:$B$301=$B106)*(graduates!$C$2:$C$301-D106)^2)/(COUNTIF(graduates!$B$2:$B$301,$B106)-1))</f>
        <v>8.6421520501849649</v>
      </c>
      <c r="F106" s="45">
        <f t="shared" si="2"/>
        <v>-0.8236584796063009</v>
      </c>
      <c r="G106" s="44">
        <f t="shared" si="3"/>
        <v>-0.8236584796063009</v>
      </c>
      <c r="H106" s="44"/>
      <c r="I106" s="44"/>
      <c r="J106" s="44"/>
    </row>
    <row r="107" spans="1:10" ht="15" customHeight="1" x14ac:dyDescent="0.3">
      <c r="A107" s="44" t="s">
        <v>124</v>
      </c>
      <c r="B107" s="44" t="s">
        <v>117</v>
      </c>
      <c r="C107" s="45">
        <v>70</v>
      </c>
      <c r="D107" s="45">
        <f>AVERAGEIF(graduates!$B$2:$B$301,$B107,graduates!$C$2:$C$301)</f>
        <v>72.118181818181824</v>
      </c>
      <c r="E107" s="45">
        <f>SQRT(SUMPRODUCT((graduates!$B$2:$B$301=$B107)*(graduates!$C$2:$C$301-D107)^2)/(COUNTIF(graduates!$B$2:$B$301,$B107)-1))</f>
        <v>8.6421520501849649</v>
      </c>
      <c r="F107" s="45">
        <f t="shared" si="2"/>
        <v>-0.2450988834588359</v>
      </c>
      <c r="G107" s="44">
        <f t="shared" si="3"/>
        <v>-0.2450988834588359</v>
      </c>
      <c r="H107" s="44"/>
      <c r="I107" s="44"/>
      <c r="J107" s="44"/>
    </row>
    <row r="108" spans="1:10" ht="15" customHeight="1" x14ac:dyDescent="0.3">
      <c r="A108" s="44" t="s">
        <v>125</v>
      </c>
      <c r="B108" s="44" t="s">
        <v>117</v>
      </c>
      <c r="C108" s="45">
        <v>76.3</v>
      </c>
      <c r="D108" s="45">
        <f>AVERAGEIF(graduates!$B$2:$B$301,$B108,graduates!$C$2:$C$301)</f>
        <v>72.118181818181824</v>
      </c>
      <c r="E108" s="45">
        <f>SQRT(SUMPRODUCT((graduates!$B$2:$B$301=$B108)*(graduates!$C$2:$C$301-D108)^2)/(COUNTIF(graduates!$B$2:$B$301,$B108)-1))</f>
        <v>8.6421520501849649</v>
      </c>
      <c r="F108" s="45">
        <f t="shared" si="2"/>
        <v>0.48388620768696966</v>
      </c>
      <c r="G108" s="44">
        <f t="shared" si="3"/>
        <v>0.48388620768696966</v>
      </c>
      <c r="H108" s="44"/>
      <c r="I108" s="44"/>
      <c r="J108" s="44"/>
    </row>
    <row r="109" spans="1:10" ht="15" customHeight="1" x14ac:dyDescent="0.3">
      <c r="A109" s="44" t="s">
        <v>126</v>
      </c>
      <c r="B109" s="44" t="s">
        <v>117</v>
      </c>
      <c r="C109" s="45">
        <v>74.5</v>
      </c>
      <c r="D109" s="45">
        <f>AVERAGEIF(graduates!$B$2:$B$301,$B109,graduates!$C$2:$C$301)</f>
        <v>72.118181818181824</v>
      </c>
      <c r="E109" s="45">
        <f>SQRT(SUMPRODUCT((graduates!$B$2:$B$301=$B109)*(graduates!$C$2:$C$301-D109)^2)/(COUNTIF(graduates!$B$2:$B$301,$B109)-1))</f>
        <v>8.6421520501849649</v>
      </c>
      <c r="F109" s="45">
        <f t="shared" si="2"/>
        <v>0.2756047530738826</v>
      </c>
      <c r="G109" s="44">
        <f t="shared" si="3"/>
        <v>0.2756047530738826</v>
      </c>
      <c r="H109" s="44"/>
      <c r="I109" s="44"/>
      <c r="J109" s="44"/>
    </row>
    <row r="110" spans="1:10" ht="15" customHeight="1" x14ac:dyDescent="0.3">
      <c r="A110" s="44" t="s">
        <v>127</v>
      </c>
      <c r="B110" s="44" t="s">
        <v>117</v>
      </c>
      <c r="C110" s="45">
        <v>78.8</v>
      </c>
      <c r="D110" s="45">
        <f>AVERAGEIF(graduates!$B$2:$B$301,$B110,graduates!$C$2:$C$301)</f>
        <v>72.118181818181824</v>
      </c>
      <c r="E110" s="45">
        <f>SQRT(SUMPRODUCT((graduates!$B$2:$B$301=$B110)*(graduates!$C$2:$C$301-D110)^2)/(COUNTIF(graduates!$B$2:$B$301,$B110)-1))</f>
        <v>8.6421520501849649</v>
      </c>
      <c r="F110" s="45">
        <f t="shared" si="2"/>
        <v>0.77316600576070216</v>
      </c>
      <c r="G110" s="44">
        <f t="shared" si="3"/>
        <v>0.77316600576070216</v>
      </c>
      <c r="H110" s="44"/>
      <c r="I110" s="44"/>
      <c r="J110" s="44"/>
    </row>
    <row r="111" spans="1:10" ht="15" customHeight="1" x14ac:dyDescent="0.3">
      <c r="A111" s="44" t="s">
        <v>128</v>
      </c>
      <c r="B111" s="44" t="s">
        <v>117</v>
      </c>
      <c r="C111" s="45">
        <v>64.599999999999994</v>
      </c>
      <c r="D111" s="45">
        <f>AVERAGEIF(graduates!$B$2:$B$301,$B111,graduates!$C$2:$C$301)</f>
        <v>72.118181818181824</v>
      </c>
      <c r="E111" s="45">
        <f>SQRT(SUMPRODUCT((graduates!$B$2:$B$301=$B111)*(graduates!$C$2:$C$301-D111)^2)/(COUNTIF(graduates!$B$2:$B$301,$B111)-1))</f>
        <v>8.6421520501849649</v>
      </c>
      <c r="F111" s="45">
        <f t="shared" si="2"/>
        <v>-0.8699432472980988</v>
      </c>
      <c r="G111" s="44">
        <f t="shared" si="3"/>
        <v>-0.8699432472980988</v>
      </c>
      <c r="H111" s="44"/>
      <c r="I111" s="44"/>
      <c r="J111" s="44"/>
    </row>
    <row r="112" spans="1:10" ht="15" customHeight="1" x14ac:dyDescent="0.3">
      <c r="A112" s="44" t="s">
        <v>129</v>
      </c>
      <c r="B112" s="44" t="s">
        <v>117</v>
      </c>
      <c r="C112" s="45">
        <v>68.2</v>
      </c>
      <c r="D112" s="45">
        <f>AVERAGEIF(graduates!$B$2:$B$301,$B112,graduates!$C$2:$C$301)</f>
        <v>72.118181818181824</v>
      </c>
      <c r="E112" s="45">
        <f>SQRT(SUMPRODUCT((graduates!$B$2:$B$301=$B112)*(graduates!$C$2:$C$301-D112)^2)/(COUNTIF(graduates!$B$2:$B$301,$B112)-1))</f>
        <v>8.6421520501849649</v>
      </c>
      <c r="F112" s="45">
        <f t="shared" si="2"/>
        <v>-0.45338033807192296</v>
      </c>
      <c r="G112" s="44">
        <f t="shared" si="3"/>
        <v>-0.45338033807192296</v>
      </c>
      <c r="H112" s="44"/>
      <c r="I112" s="44"/>
      <c r="J112" s="44"/>
    </row>
    <row r="113" spans="1:10" ht="15" customHeight="1" x14ac:dyDescent="0.3">
      <c r="A113" s="44" t="s">
        <v>130</v>
      </c>
      <c r="B113" s="44" t="s">
        <v>117</v>
      </c>
      <c r="C113" s="45">
        <v>67.2</v>
      </c>
      <c r="D113" s="45">
        <f>AVERAGEIF(graduates!$B$2:$B$301,$B113,graduates!$C$2:$C$301)</f>
        <v>72.118181818181824</v>
      </c>
      <c r="E113" s="45">
        <f>SQRT(SUMPRODUCT((graduates!$B$2:$B$301=$B113)*(graduates!$C$2:$C$301-D113)^2)/(COUNTIF(graduates!$B$2:$B$301,$B113)-1))</f>
        <v>8.6421520501849649</v>
      </c>
      <c r="F113" s="45">
        <f t="shared" si="2"/>
        <v>-0.56909225730141599</v>
      </c>
      <c r="G113" s="44">
        <f t="shared" si="3"/>
        <v>-0.56909225730141599</v>
      </c>
      <c r="H113" s="44"/>
      <c r="I113" s="44"/>
      <c r="J113" s="44"/>
    </row>
    <row r="114" spans="1:10" ht="15" customHeight="1" x14ac:dyDescent="0.3">
      <c r="A114" s="44" t="s">
        <v>131</v>
      </c>
      <c r="B114" s="44" t="s">
        <v>117</v>
      </c>
      <c r="C114" s="45">
        <v>63.2</v>
      </c>
      <c r="D114" s="45">
        <f>AVERAGEIF(graduates!$B$2:$B$301,$B114,graduates!$C$2:$C$301)</f>
        <v>72.118181818181824</v>
      </c>
      <c r="E114" s="45">
        <f>SQRT(SUMPRODUCT((graduates!$B$2:$B$301=$B114)*(graduates!$C$2:$C$301-D114)^2)/(COUNTIF(graduates!$B$2:$B$301,$B114)-1))</f>
        <v>8.6421520501849649</v>
      </c>
      <c r="F114" s="45">
        <f t="shared" si="2"/>
        <v>-1.031939934219388</v>
      </c>
      <c r="G114" s="44">
        <f t="shared" si="3"/>
        <v>-1.031939934219388</v>
      </c>
      <c r="H114" s="44"/>
      <c r="I114" s="44"/>
      <c r="J114" s="44"/>
    </row>
    <row r="115" spans="1:10" ht="15" customHeight="1" x14ac:dyDescent="0.3">
      <c r="A115" s="44" t="s">
        <v>132</v>
      </c>
      <c r="B115" s="44" t="s">
        <v>117</v>
      </c>
      <c r="C115" s="45">
        <v>77.8</v>
      </c>
      <c r="D115" s="45">
        <f>AVERAGEIF(graduates!$B$2:$B$301,$B115,graduates!$C$2:$C$301)</f>
        <v>72.118181818181824</v>
      </c>
      <c r="E115" s="45">
        <f>SQRT(SUMPRODUCT((graduates!$B$2:$B$301=$B115)*(graduates!$C$2:$C$301-D115)^2)/(COUNTIF(graduates!$B$2:$B$301,$B115)-1))</f>
        <v>8.6421520501849649</v>
      </c>
      <c r="F115" s="45">
        <f t="shared" si="2"/>
        <v>0.65745408653120918</v>
      </c>
      <c r="G115" s="44">
        <f t="shared" si="3"/>
        <v>0.65745408653120918</v>
      </c>
      <c r="H115" s="44"/>
      <c r="I115" s="44"/>
      <c r="J115" s="44"/>
    </row>
    <row r="116" spans="1:10" ht="15" customHeight="1" x14ac:dyDescent="0.3">
      <c r="A116" s="44" t="s">
        <v>133</v>
      </c>
      <c r="B116" s="44" t="s">
        <v>117</v>
      </c>
      <c r="C116" s="45">
        <v>73.8</v>
      </c>
      <c r="D116" s="45">
        <f>AVERAGEIF(graduates!$B$2:$B$301,$B116,graduates!$C$2:$C$301)</f>
        <v>72.118181818181824</v>
      </c>
      <c r="E116" s="45">
        <f>SQRT(SUMPRODUCT((graduates!$B$2:$B$301=$B116)*(graduates!$C$2:$C$301-D116)^2)/(COUNTIF(graduates!$B$2:$B$301,$B116)-1))</f>
        <v>8.6421520501849649</v>
      </c>
      <c r="F116" s="45">
        <f t="shared" si="2"/>
        <v>0.19460640961323719</v>
      </c>
      <c r="G116" s="44">
        <f t="shared" si="3"/>
        <v>0.19460640961323719</v>
      </c>
      <c r="H116" s="44"/>
      <c r="I116" s="44"/>
      <c r="J116" s="44"/>
    </row>
    <row r="117" spans="1:10" ht="15" customHeight="1" x14ac:dyDescent="0.3">
      <c r="A117" s="44" t="s">
        <v>134</v>
      </c>
      <c r="B117" s="44" t="s">
        <v>117</v>
      </c>
      <c r="C117" s="45">
        <v>76</v>
      </c>
      <c r="D117" s="45">
        <f>AVERAGEIF(graduates!$B$2:$B$301,$B117,graduates!$C$2:$C$301)</f>
        <v>72.118181818181824</v>
      </c>
      <c r="E117" s="45">
        <f>SQRT(SUMPRODUCT((graduates!$B$2:$B$301=$B117)*(graduates!$C$2:$C$301-D117)^2)/(COUNTIF(graduates!$B$2:$B$301,$B117)-1))</f>
        <v>8.6421520501849649</v>
      </c>
      <c r="F117" s="45">
        <f t="shared" si="2"/>
        <v>0.44917263191812212</v>
      </c>
      <c r="G117" s="44">
        <f t="shared" si="3"/>
        <v>0.44917263191812212</v>
      </c>
      <c r="H117" s="44"/>
      <c r="I117" s="44"/>
      <c r="J117" s="44"/>
    </row>
    <row r="118" spans="1:10" ht="15" customHeight="1" x14ac:dyDescent="0.3">
      <c r="A118" s="44" t="s">
        <v>135</v>
      </c>
      <c r="B118" s="44" t="s">
        <v>117</v>
      </c>
      <c r="C118" s="45">
        <v>74.7</v>
      </c>
      <c r="D118" s="45">
        <f>AVERAGEIF(graduates!$B$2:$B$301,$B118,graduates!$C$2:$C$301)</f>
        <v>72.118181818181824</v>
      </c>
      <c r="E118" s="45">
        <f>SQRT(SUMPRODUCT((graduates!$B$2:$B$301=$B118)*(graduates!$C$2:$C$301-D118)^2)/(COUNTIF(graduates!$B$2:$B$301,$B118)-1))</f>
        <v>8.6421520501849649</v>
      </c>
      <c r="F118" s="45">
        <f t="shared" si="2"/>
        <v>0.29874713691978155</v>
      </c>
      <c r="G118" s="44">
        <f t="shared" si="3"/>
        <v>0.29874713691978155</v>
      </c>
      <c r="H118" s="44"/>
      <c r="I118" s="44"/>
      <c r="J118" s="44"/>
    </row>
    <row r="119" spans="1:10" ht="15" customHeight="1" x14ac:dyDescent="0.3">
      <c r="A119" s="44" t="s">
        <v>136</v>
      </c>
      <c r="B119" s="44" t="s">
        <v>117</v>
      </c>
      <c r="C119" s="45">
        <v>66.900000000000006</v>
      </c>
      <c r="D119" s="45">
        <f>AVERAGEIF(graduates!$B$2:$B$301,$B119,graduates!$C$2:$C$301)</f>
        <v>72.118181818181824</v>
      </c>
      <c r="E119" s="45">
        <f>SQRT(SUMPRODUCT((graduates!$B$2:$B$301=$B119)*(graduates!$C$2:$C$301-D119)^2)/(COUNTIF(graduates!$B$2:$B$301,$B119)-1))</f>
        <v>8.6421520501849649</v>
      </c>
      <c r="F119" s="45">
        <f t="shared" si="2"/>
        <v>-0.60380583307026359</v>
      </c>
      <c r="G119" s="44">
        <f t="shared" si="3"/>
        <v>-0.60380583307026359</v>
      </c>
      <c r="H119" s="44"/>
      <c r="I119" s="44"/>
      <c r="J119" s="44"/>
    </row>
    <row r="120" spans="1:10" ht="15" customHeight="1" x14ac:dyDescent="0.3">
      <c r="A120" s="44" t="s">
        <v>137</v>
      </c>
      <c r="B120" s="44" t="s">
        <v>117</v>
      </c>
      <c r="C120" s="45">
        <v>64.400000000000006</v>
      </c>
      <c r="D120" s="45">
        <f>AVERAGEIF(graduates!$B$2:$B$301,$B120,graduates!$C$2:$C$301)</f>
        <v>72.118181818181824</v>
      </c>
      <c r="E120" s="45">
        <f>SQRT(SUMPRODUCT((graduates!$B$2:$B$301=$B120)*(graduates!$C$2:$C$301-D120)^2)/(COUNTIF(graduates!$B$2:$B$301,$B120)-1))</f>
        <v>8.6421520501849649</v>
      </c>
      <c r="F120" s="45">
        <f t="shared" si="2"/>
        <v>-0.89308563114399608</v>
      </c>
      <c r="G120" s="44">
        <f t="shared" si="3"/>
        <v>-0.89308563114399608</v>
      </c>
      <c r="H120" s="44"/>
      <c r="I120" s="44"/>
      <c r="J120" s="44"/>
    </row>
    <row r="121" spans="1:10" ht="15" customHeight="1" x14ac:dyDescent="0.3">
      <c r="A121" s="44" t="s">
        <v>138</v>
      </c>
      <c r="B121" s="44" t="s">
        <v>117</v>
      </c>
      <c r="C121" s="45">
        <v>70</v>
      </c>
      <c r="D121" s="45">
        <f>AVERAGEIF(graduates!$B$2:$B$301,$B121,graduates!$C$2:$C$301)</f>
        <v>72.118181818181824</v>
      </c>
      <c r="E121" s="45">
        <f>SQRT(SUMPRODUCT((graduates!$B$2:$B$301=$B121)*(graduates!$C$2:$C$301-D121)^2)/(COUNTIF(graduates!$B$2:$B$301,$B121)-1))</f>
        <v>8.6421520501849649</v>
      </c>
      <c r="F121" s="45">
        <f t="shared" si="2"/>
        <v>-0.2450988834588359</v>
      </c>
      <c r="G121" s="44">
        <f t="shared" si="3"/>
        <v>-0.2450988834588359</v>
      </c>
      <c r="H121" s="44"/>
      <c r="I121" s="44"/>
      <c r="J121" s="44"/>
    </row>
    <row r="122" spans="1:10" ht="15" customHeight="1" x14ac:dyDescent="0.3">
      <c r="A122" s="44" t="s">
        <v>139</v>
      </c>
      <c r="B122" s="44" t="s">
        <v>117</v>
      </c>
      <c r="C122" s="45">
        <v>75.3</v>
      </c>
      <c r="D122" s="45">
        <f>AVERAGEIF(graduates!$B$2:$B$301,$B122,graduates!$C$2:$C$301)</f>
        <v>72.118181818181824</v>
      </c>
      <c r="E122" s="45">
        <f>SQRT(SUMPRODUCT((graduates!$B$2:$B$301=$B122)*(graduates!$C$2:$C$301-D122)^2)/(COUNTIF(graduates!$B$2:$B$301,$B122)-1))</f>
        <v>8.6421520501849649</v>
      </c>
      <c r="F122" s="45">
        <f t="shared" si="2"/>
        <v>0.36817428845747668</v>
      </c>
      <c r="G122" s="44">
        <f t="shared" si="3"/>
        <v>0.36817428845747668</v>
      </c>
      <c r="H122" s="44"/>
      <c r="I122" s="44"/>
      <c r="J122" s="44"/>
    </row>
    <row r="123" spans="1:10" ht="15" customHeight="1" x14ac:dyDescent="0.3">
      <c r="A123" s="44" t="s">
        <v>140</v>
      </c>
      <c r="B123" s="44" t="s">
        <v>117</v>
      </c>
      <c r="C123" s="45">
        <v>69.7</v>
      </c>
      <c r="D123" s="45">
        <f>AVERAGEIF(graduates!$B$2:$B$301,$B123,graduates!$C$2:$C$301)</f>
        <v>72.118181818181824</v>
      </c>
      <c r="E123" s="45">
        <f>SQRT(SUMPRODUCT((graduates!$B$2:$B$301=$B123)*(graduates!$C$2:$C$301-D123)^2)/(COUNTIF(graduates!$B$2:$B$301,$B123)-1))</f>
        <v>8.6421520501849649</v>
      </c>
      <c r="F123" s="45">
        <f t="shared" si="2"/>
        <v>-0.27981245922768344</v>
      </c>
      <c r="G123" s="44">
        <f t="shared" si="3"/>
        <v>-0.27981245922768344</v>
      </c>
      <c r="H123" s="44"/>
      <c r="I123" s="44"/>
      <c r="J123" s="44"/>
    </row>
    <row r="124" spans="1:10" ht="15" customHeight="1" x14ac:dyDescent="0.3">
      <c r="A124" s="44" t="s">
        <v>141</v>
      </c>
      <c r="B124" s="44" t="s">
        <v>117</v>
      </c>
      <c r="C124" s="45">
        <v>96.9</v>
      </c>
      <c r="D124" s="45">
        <f>AVERAGEIF(graduates!$B$2:$B$301,$B124,graduates!$C$2:$C$301)</f>
        <v>72.118181818181824</v>
      </c>
      <c r="E124" s="45">
        <f>SQRT(SUMPRODUCT((graduates!$B$2:$B$301=$B124)*(graduates!$C$2:$C$301-D124)^2)/(COUNTIF(graduates!$B$2:$B$301,$B124)-1))</f>
        <v>8.6421520501849649</v>
      </c>
      <c r="F124" s="45">
        <f t="shared" si="2"/>
        <v>2.8675517438145266</v>
      </c>
      <c r="G124" s="44">
        <f t="shared" si="3"/>
        <v>2.8675517438145266</v>
      </c>
      <c r="H124" s="44"/>
      <c r="I124" s="44"/>
      <c r="J124" s="44"/>
    </row>
    <row r="125" spans="1:10" ht="15" customHeight="1" x14ac:dyDescent="0.3">
      <c r="A125" s="44" t="s">
        <v>142</v>
      </c>
      <c r="B125" s="44" t="s">
        <v>117</v>
      </c>
      <c r="C125" s="45">
        <v>74.7</v>
      </c>
      <c r="D125" s="45">
        <f>AVERAGEIF(graduates!$B$2:$B$301,$B125,graduates!$C$2:$C$301)</f>
        <v>72.118181818181824</v>
      </c>
      <c r="E125" s="45">
        <f>SQRT(SUMPRODUCT((graduates!$B$2:$B$301=$B125)*(graduates!$C$2:$C$301-D125)^2)/(COUNTIF(graduates!$B$2:$B$301,$B125)-1))</f>
        <v>8.6421520501849649</v>
      </c>
      <c r="F125" s="45">
        <f t="shared" si="2"/>
        <v>0.29874713691978155</v>
      </c>
      <c r="G125" s="44">
        <f t="shared" si="3"/>
        <v>0.29874713691978155</v>
      </c>
      <c r="H125" s="44"/>
      <c r="I125" s="44"/>
      <c r="J125" s="44"/>
    </row>
    <row r="126" spans="1:10" ht="15" customHeight="1" x14ac:dyDescent="0.3">
      <c r="A126" s="44" t="s">
        <v>143</v>
      </c>
      <c r="B126" s="44" t="s">
        <v>117</v>
      </c>
      <c r="C126" s="45">
        <v>70</v>
      </c>
      <c r="D126" s="45">
        <f>AVERAGEIF(graduates!$B$2:$B$301,$B126,graduates!$C$2:$C$301)</f>
        <v>72.118181818181824</v>
      </c>
      <c r="E126" s="45">
        <f>SQRT(SUMPRODUCT((graduates!$B$2:$B$301=$B126)*(graduates!$C$2:$C$301-D126)^2)/(COUNTIF(graduates!$B$2:$B$301,$B126)-1))</f>
        <v>8.6421520501849649</v>
      </c>
      <c r="F126" s="45">
        <f t="shared" si="2"/>
        <v>-0.2450988834588359</v>
      </c>
      <c r="G126" s="44">
        <f t="shared" si="3"/>
        <v>-0.2450988834588359</v>
      </c>
      <c r="H126" s="44"/>
      <c r="I126" s="44"/>
      <c r="J126" s="44"/>
    </row>
    <row r="127" spans="1:10" ht="15" customHeight="1" x14ac:dyDescent="0.3">
      <c r="A127" s="44" t="s">
        <v>144</v>
      </c>
      <c r="B127" s="44" t="s">
        <v>117</v>
      </c>
      <c r="C127" s="45">
        <v>80.599999999999994</v>
      </c>
      <c r="D127" s="45">
        <f>AVERAGEIF(graduates!$B$2:$B$301,$B127,graduates!$C$2:$C$301)</f>
        <v>72.118181818181824</v>
      </c>
      <c r="E127" s="45">
        <f>SQRT(SUMPRODUCT((graduates!$B$2:$B$301=$B127)*(graduates!$C$2:$C$301-D127)^2)/(COUNTIF(graduates!$B$2:$B$301,$B127)-1))</f>
        <v>8.6421520501849649</v>
      </c>
      <c r="F127" s="45">
        <f t="shared" si="2"/>
        <v>0.98144746037378927</v>
      </c>
      <c r="G127" s="44">
        <f t="shared" si="3"/>
        <v>0.98144746037378927</v>
      </c>
      <c r="H127" s="44"/>
      <c r="I127" s="44"/>
      <c r="J127" s="44"/>
    </row>
    <row r="128" spans="1:10" ht="15" customHeight="1" x14ac:dyDescent="0.3">
      <c r="A128" s="44" t="s">
        <v>145</v>
      </c>
      <c r="B128" s="44" t="s">
        <v>117</v>
      </c>
      <c r="C128" s="45">
        <v>69.7</v>
      </c>
      <c r="D128" s="45">
        <f>AVERAGEIF(graduates!$B$2:$B$301,$B128,graduates!$C$2:$C$301)</f>
        <v>72.118181818181824</v>
      </c>
      <c r="E128" s="45">
        <f>SQRT(SUMPRODUCT((graduates!$B$2:$B$301=$B128)*(graduates!$C$2:$C$301-D128)^2)/(COUNTIF(graduates!$B$2:$B$301,$B128)-1))</f>
        <v>8.6421520501849649</v>
      </c>
      <c r="F128" s="45">
        <f t="shared" si="2"/>
        <v>-0.27981245922768344</v>
      </c>
      <c r="G128" s="44">
        <f t="shared" si="3"/>
        <v>-0.27981245922768344</v>
      </c>
      <c r="H128" s="44"/>
      <c r="I128" s="44"/>
      <c r="J128" s="44"/>
    </row>
    <row r="129" spans="1:10" ht="15" customHeight="1" x14ac:dyDescent="0.3">
      <c r="A129" s="44" t="s">
        <v>146</v>
      </c>
      <c r="B129" s="44" t="s">
        <v>117</v>
      </c>
      <c r="C129" s="45">
        <v>71.5</v>
      </c>
      <c r="D129" s="45">
        <f>AVERAGEIF(graduates!$B$2:$B$301,$B129,graduates!$C$2:$C$301)</f>
        <v>72.118181818181824</v>
      </c>
      <c r="E129" s="45">
        <f>SQRT(SUMPRODUCT((graduates!$B$2:$B$301=$B129)*(graduates!$C$2:$C$301-D129)^2)/(COUNTIF(graduates!$B$2:$B$301,$B129)-1))</f>
        <v>8.6421520501849649</v>
      </c>
      <c r="F129" s="45">
        <f t="shared" si="2"/>
        <v>-7.1531004614596397E-2</v>
      </c>
      <c r="G129" s="44">
        <f t="shared" si="3"/>
        <v>-7.1531004614596397E-2</v>
      </c>
      <c r="H129" s="44"/>
      <c r="I129" s="44"/>
      <c r="J129" s="44"/>
    </row>
    <row r="130" spans="1:10" ht="15" customHeight="1" x14ac:dyDescent="0.3">
      <c r="A130" s="44" t="s">
        <v>147</v>
      </c>
      <c r="B130" s="44" t="s">
        <v>117</v>
      </c>
      <c r="C130" s="45">
        <v>73</v>
      </c>
      <c r="D130" s="45">
        <f>AVERAGEIF(graduates!$B$2:$B$301,$B130,graduates!$C$2:$C$301)</f>
        <v>72.118181818181824</v>
      </c>
      <c r="E130" s="45">
        <f>SQRT(SUMPRODUCT((graduates!$B$2:$B$301=$B130)*(graduates!$C$2:$C$301-D130)^2)/(COUNTIF(graduates!$B$2:$B$301,$B130)-1))</f>
        <v>8.6421520501849649</v>
      </c>
      <c r="F130" s="45">
        <f t="shared" si="2"/>
        <v>0.10203687422964311</v>
      </c>
      <c r="G130" s="44">
        <f t="shared" si="3"/>
        <v>0.10203687422964311</v>
      </c>
      <c r="H130" s="44"/>
      <c r="I130" s="44"/>
      <c r="J130" s="44"/>
    </row>
    <row r="131" spans="1:10" ht="15" customHeight="1" x14ac:dyDescent="0.3">
      <c r="A131" s="44" t="s">
        <v>148</v>
      </c>
      <c r="B131" s="44" t="s">
        <v>117</v>
      </c>
      <c r="C131" s="45">
        <v>80.7</v>
      </c>
      <c r="D131" s="45">
        <f>AVERAGEIF(graduates!$B$2:$B$301,$B131,graduates!$C$2:$C$301)</f>
        <v>72.118181818181824</v>
      </c>
      <c r="E131" s="45">
        <f>SQRT(SUMPRODUCT((graduates!$B$2:$B$301=$B131)*(graduates!$C$2:$C$301-D131)^2)/(COUNTIF(graduates!$B$2:$B$301,$B131)-1))</f>
        <v>8.6421520501849649</v>
      </c>
      <c r="F131" s="45">
        <f t="shared" si="2"/>
        <v>0.99301865229673958</v>
      </c>
      <c r="G131" s="44">
        <f t="shared" si="3"/>
        <v>0.99301865229673958</v>
      </c>
      <c r="H131" s="44"/>
      <c r="I131" s="44"/>
      <c r="J131" s="44"/>
    </row>
    <row r="132" spans="1:10" ht="15" customHeight="1" x14ac:dyDescent="0.3">
      <c r="A132" s="44" t="s">
        <v>149</v>
      </c>
      <c r="B132" s="44" t="s">
        <v>117</v>
      </c>
      <c r="C132" s="45">
        <v>62.6</v>
      </c>
      <c r="D132" s="45">
        <f>AVERAGEIF(graduates!$B$2:$B$301,$B132,graduates!$C$2:$C$301)</f>
        <v>72.118181818181824</v>
      </c>
      <c r="E132" s="45">
        <f>SQRT(SUMPRODUCT((graduates!$B$2:$B$301=$B132)*(graduates!$C$2:$C$301-D132)^2)/(COUNTIF(graduates!$B$2:$B$301,$B132)-1))</f>
        <v>8.6421520501849649</v>
      </c>
      <c r="F132" s="45">
        <f t="shared" si="2"/>
        <v>-1.1013670857570839</v>
      </c>
      <c r="G132" s="44">
        <f t="shared" si="3"/>
        <v>-1.1013670857570839</v>
      </c>
      <c r="H132" s="44"/>
      <c r="I132" s="44"/>
      <c r="J132" s="44"/>
    </row>
    <row r="133" spans="1:10" ht="15" customHeight="1" x14ac:dyDescent="0.3">
      <c r="A133" s="44" t="s">
        <v>150</v>
      </c>
      <c r="B133" s="44" t="s">
        <v>117</v>
      </c>
      <c r="C133" s="45">
        <v>80.7</v>
      </c>
      <c r="D133" s="45">
        <f>AVERAGEIF(graduates!$B$2:$B$301,$B133,graduates!$C$2:$C$301)</f>
        <v>72.118181818181824</v>
      </c>
      <c r="E133" s="45">
        <f>SQRT(SUMPRODUCT((graduates!$B$2:$B$301=$B133)*(graduates!$C$2:$C$301-D133)^2)/(COUNTIF(graduates!$B$2:$B$301,$B133)-1))</f>
        <v>8.6421520501849649</v>
      </c>
      <c r="F133" s="45">
        <f t="shared" ref="F133:F196" si="4">(C133-D133)/E133</f>
        <v>0.99301865229673958</v>
      </c>
      <c r="G133" s="44">
        <f t="shared" ref="G133:G196" si="5">(C133-D133)/E133</f>
        <v>0.99301865229673958</v>
      </c>
      <c r="H133" s="44"/>
      <c r="I133" s="44"/>
      <c r="J133" s="44"/>
    </row>
    <row r="134" spans="1:10" ht="15" customHeight="1" x14ac:dyDescent="0.3">
      <c r="A134" s="44" t="s">
        <v>151</v>
      </c>
      <c r="B134" s="44" t="s">
        <v>117</v>
      </c>
      <c r="C134" s="45">
        <v>58</v>
      </c>
      <c r="D134" s="45">
        <f>AVERAGEIF(graduates!$B$2:$B$301,$B134,graduates!$C$2:$C$301)</f>
        <v>72.118181818181824</v>
      </c>
      <c r="E134" s="45">
        <f>SQRT(SUMPRODUCT((graduates!$B$2:$B$301=$B134)*(graduates!$C$2:$C$301-D134)^2)/(COUNTIF(graduates!$B$2:$B$301,$B134)-1))</f>
        <v>8.6421520501849649</v>
      </c>
      <c r="F134" s="45">
        <f t="shared" si="4"/>
        <v>-1.6336419142127518</v>
      </c>
      <c r="G134" s="44">
        <f t="shared" si="5"/>
        <v>-1.6336419142127518</v>
      </c>
      <c r="H134" s="44"/>
      <c r="I134" s="44"/>
      <c r="J134" s="44"/>
    </row>
    <row r="135" spans="1:10" ht="15" customHeight="1" x14ac:dyDescent="0.3">
      <c r="A135" s="44" t="s">
        <v>152</v>
      </c>
      <c r="B135" s="44" t="s">
        <v>117</v>
      </c>
      <c r="C135" s="45">
        <v>80.400000000000006</v>
      </c>
      <c r="D135" s="45">
        <f>AVERAGEIF(graduates!$B$2:$B$301,$B135,graduates!$C$2:$C$301)</f>
        <v>72.118181818181824</v>
      </c>
      <c r="E135" s="45">
        <f>SQRT(SUMPRODUCT((graduates!$B$2:$B$301=$B135)*(graduates!$C$2:$C$301-D135)^2)/(COUNTIF(graduates!$B$2:$B$301,$B135)-1))</f>
        <v>8.6421520501849649</v>
      </c>
      <c r="F135" s="45">
        <f t="shared" si="4"/>
        <v>0.95830507652789199</v>
      </c>
      <c r="G135" s="44">
        <f t="shared" si="5"/>
        <v>0.95830507652789199</v>
      </c>
      <c r="H135" s="44"/>
      <c r="I135" s="44"/>
      <c r="J135" s="44"/>
    </row>
    <row r="136" spans="1:10" ht="15" customHeight="1" x14ac:dyDescent="0.3">
      <c r="A136" s="44" t="s">
        <v>153</v>
      </c>
      <c r="B136" s="44" t="s">
        <v>117</v>
      </c>
      <c r="C136" s="45">
        <v>77.599999999999994</v>
      </c>
      <c r="D136" s="45">
        <f>AVERAGEIF(graduates!$B$2:$B$301,$B136,graduates!$C$2:$C$301)</f>
        <v>72.118181818181824</v>
      </c>
      <c r="E136" s="45">
        <f>SQRT(SUMPRODUCT((graduates!$B$2:$B$301=$B136)*(graduates!$C$2:$C$301-D136)^2)/(COUNTIF(graduates!$B$2:$B$301,$B136)-1))</f>
        <v>8.6421520501849649</v>
      </c>
      <c r="F136" s="45">
        <f t="shared" si="4"/>
        <v>0.63431170268531023</v>
      </c>
      <c r="G136" s="44">
        <f t="shared" si="5"/>
        <v>0.63431170268531023</v>
      </c>
      <c r="H136" s="44"/>
      <c r="I136" s="44"/>
      <c r="J136" s="44"/>
    </row>
    <row r="137" spans="1:10" ht="15" customHeight="1" x14ac:dyDescent="0.3">
      <c r="A137" s="44" t="s">
        <v>154</v>
      </c>
      <c r="B137" s="44" t="s">
        <v>117</v>
      </c>
      <c r="C137" s="45">
        <v>79.7</v>
      </c>
      <c r="D137" s="45">
        <f>AVERAGEIF(graduates!$B$2:$B$301,$B137,graduates!$C$2:$C$301)</f>
        <v>72.118181818181824</v>
      </c>
      <c r="E137" s="45">
        <f>SQRT(SUMPRODUCT((graduates!$B$2:$B$301=$B137)*(graduates!$C$2:$C$301-D137)^2)/(COUNTIF(graduates!$B$2:$B$301,$B137)-1))</f>
        <v>8.6421520501849649</v>
      </c>
      <c r="F137" s="45">
        <f t="shared" si="4"/>
        <v>0.87730673306724649</v>
      </c>
      <c r="G137" s="44">
        <f t="shared" si="5"/>
        <v>0.87730673306724649</v>
      </c>
      <c r="H137" s="44"/>
      <c r="I137" s="44"/>
      <c r="J137" s="44"/>
    </row>
    <row r="138" spans="1:10" ht="15" customHeight="1" x14ac:dyDescent="0.3">
      <c r="A138" s="44" t="s">
        <v>155</v>
      </c>
      <c r="B138" s="44" t="s">
        <v>117</v>
      </c>
      <c r="C138" s="45">
        <v>59.3</v>
      </c>
      <c r="D138" s="45">
        <f>AVERAGEIF(graduates!$B$2:$B$301,$B138,graduates!$C$2:$C$301)</f>
        <v>72.118181818181824</v>
      </c>
      <c r="E138" s="45">
        <f>SQRT(SUMPRODUCT((graduates!$B$2:$B$301=$B138)*(graduates!$C$2:$C$301-D138)^2)/(COUNTIF(graduates!$B$2:$B$301,$B138)-1))</f>
        <v>8.6421520501849649</v>
      </c>
      <c r="F138" s="45">
        <f t="shared" si="4"/>
        <v>-1.4832164192144113</v>
      </c>
      <c r="G138" s="44">
        <f t="shared" si="5"/>
        <v>-1.4832164192144113</v>
      </c>
      <c r="H138" s="44"/>
      <c r="I138" s="44"/>
      <c r="J138" s="44"/>
    </row>
    <row r="139" spans="1:10" ht="15" customHeight="1" x14ac:dyDescent="0.3">
      <c r="A139" s="44" t="s">
        <v>156</v>
      </c>
      <c r="B139" s="44" t="s">
        <v>117</v>
      </c>
      <c r="C139" s="45">
        <v>79.400000000000006</v>
      </c>
      <c r="D139" s="45">
        <f>AVERAGEIF(graduates!$B$2:$B$301,$B139,graduates!$C$2:$C$301)</f>
        <v>72.118181818181824</v>
      </c>
      <c r="E139" s="45">
        <f>SQRT(SUMPRODUCT((graduates!$B$2:$B$301=$B139)*(graduates!$C$2:$C$301-D139)^2)/(COUNTIF(graduates!$B$2:$B$301,$B139)-1))</f>
        <v>8.6421520501849649</v>
      </c>
      <c r="F139" s="45">
        <f t="shared" si="4"/>
        <v>0.84259315729839901</v>
      </c>
      <c r="G139" s="44">
        <f t="shared" si="5"/>
        <v>0.84259315729839901</v>
      </c>
      <c r="H139" s="44"/>
      <c r="I139" s="44"/>
      <c r="J139" s="44"/>
    </row>
    <row r="140" spans="1:10" ht="15" customHeight="1" x14ac:dyDescent="0.3">
      <c r="A140" s="44" t="s">
        <v>157</v>
      </c>
      <c r="B140" s="44" t="s">
        <v>117</v>
      </c>
      <c r="C140" s="45">
        <v>89.9</v>
      </c>
      <c r="D140" s="45">
        <f>AVERAGEIF(graduates!$B$2:$B$301,$B140,graduates!$C$2:$C$301)</f>
        <v>72.118181818181824</v>
      </c>
      <c r="E140" s="45">
        <f>SQRT(SUMPRODUCT((graduates!$B$2:$B$301=$B140)*(graduates!$C$2:$C$301-D140)^2)/(COUNTIF(graduates!$B$2:$B$301,$B140)-1))</f>
        <v>8.6421520501849649</v>
      </c>
      <c r="F140" s="45">
        <f t="shared" si="4"/>
        <v>2.0575683092080754</v>
      </c>
      <c r="G140" s="44">
        <f t="shared" si="5"/>
        <v>2.0575683092080754</v>
      </c>
      <c r="H140" s="44"/>
      <c r="I140" s="44"/>
      <c r="J140" s="44"/>
    </row>
    <row r="141" spans="1:10" ht="15" customHeight="1" x14ac:dyDescent="0.3">
      <c r="A141" s="44" t="s">
        <v>158</v>
      </c>
      <c r="B141" s="44" t="s">
        <v>117</v>
      </c>
      <c r="C141" s="45">
        <v>61.2</v>
      </c>
      <c r="D141" s="45">
        <f>AVERAGEIF(graduates!$B$2:$B$301,$B141,graduates!$C$2:$C$301)</f>
        <v>72.118181818181824</v>
      </c>
      <c r="E141" s="45">
        <f>SQRT(SUMPRODUCT((graduates!$B$2:$B$301=$B141)*(graduates!$C$2:$C$301-D141)^2)/(COUNTIF(graduates!$B$2:$B$301,$B141)-1))</f>
        <v>8.6421520501849649</v>
      </c>
      <c r="F141" s="45">
        <f t="shared" si="4"/>
        <v>-1.263363772678374</v>
      </c>
      <c r="G141" s="44">
        <f t="shared" si="5"/>
        <v>-1.263363772678374</v>
      </c>
      <c r="H141" s="44"/>
      <c r="I141" s="44"/>
      <c r="J141" s="44"/>
    </row>
    <row r="142" spans="1:10" ht="15" customHeight="1" x14ac:dyDescent="0.3">
      <c r="A142" s="44" t="s">
        <v>159</v>
      </c>
      <c r="B142" s="44" t="s">
        <v>117</v>
      </c>
      <c r="C142" s="45">
        <v>75</v>
      </c>
      <c r="D142" s="45">
        <f>AVERAGEIF(graduates!$B$2:$B$301,$B142,graduates!$C$2:$C$301)</f>
        <v>72.118181818181824</v>
      </c>
      <c r="E142" s="45">
        <f>SQRT(SUMPRODUCT((graduates!$B$2:$B$301=$B142)*(graduates!$C$2:$C$301-D142)^2)/(COUNTIF(graduates!$B$2:$B$301,$B142)-1))</f>
        <v>8.6421520501849649</v>
      </c>
      <c r="F142" s="45">
        <f t="shared" si="4"/>
        <v>0.33346071268862909</v>
      </c>
      <c r="G142" s="44">
        <f t="shared" si="5"/>
        <v>0.33346071268862909</v>
      </c>
      <c r="H142" s="44"/>
      <c r="I142" s="44"/>
      <c r="J142" s="44"/>
    </row>
    <row r="143" spans="1:10" ht="15" customHeight="1" x14ac:dyDescent="0.3">
      <c r="A143" s="44" t="s">
        <v>160</v>
      </c>
      <c r="B143" s="44" t="s">
        <v>117</v>
      </c>
      <c r="C143" s="45">
        <v>63.6</v>
      </c>
      <c r="D143" s="45">
        <f>AVERAGEIF(graduates!$B$2:$B$301,$B143,graduates!$C$2:$C$301)</f>
        <v>72.118181818181824</v>
      </c>
      <c r="E143" s="45">
        <f>SQRT(SUMPRODUCT((graduates!$B$2:$B$301=$B143)*(graduates!$C$2:$C$301-D143)^2)/(COUNTIF(graduates!$B$2:$B$301,$B143)-1))</f>
        <v>8.6421520501849649</v>
      </c>
      <c r="F143" s="45">
        <f t="shared" si="4"/>
        <v>-0.98565516652759089</v>
      </c>
      <c r="G143" s="44">
        <f t="shared" si="5"/>
        <v>-0.98565516652759089</v>
      </c>
      <c r="H143" s="44"/>
      <c r="I143" s="44"/>
      <c r="J143" s="44"/>
    </row>
    <row r="144" spans="1:10" ht="15" customHeight="1" x14ac:dyDescent="0.3">
      <c r="A144" s="44" t="s">
        <v>161</v>
      </c>
      <c r="B144" s="44" t="s">
        <v>117</v>
      </c>
      <c r="C144" s="45">
        <v>73.7</v>
      </c>
      <c r="D144" s="45">
        <f>AVERAGEIF(graduates!$B$2:$B$301,$B144,graduates!$C$2:$C$301)</f>
        <v>72.118181818181824</v>
      </c>
      <c r="E144" s="45">
        <f>SQRT(SUMPRODUCT((graduates!$B$2:$B$301=$B144)*(graduates!$C$2:$C$301-D144)^2)/(COUNTIF(graduates!$B$2:$B$301,$B144)-1))</f>
        <v>8.6421520501849649</v>
      </c>
      <c r="F144" s="45">
        <f t="shared" si="4"/>
        <v>0.18303521769028855</v>
      </c>
      <c r="G144" s="44">
        <f t="shared" si="5"/>
        <v>0.18303521769028855</v>
      </c>
      <c r="H144" s="44"/>
      <c r="I144" s="44"/>
      <c r="J144" s="44"/>
    </row>
    <row r="145" spans="1:10" ht="15" customHeight="1" x14ac:dyDescent="0.3">
      <c r="A145" s="44" t="s">
        <v>162</v>
      </c>
      <c r="B145" s="44" t="s">
        <v>117</v>
      </c>
      <c r="C145" s="45">
        <v>61.8</v>
      </c>
      <c r="D145" s="45">
        <f>AVERAGEIF(graduates!$B$2:$B$301,$B145,graduates!$C$2:$C$301)</f>
        <v>72.118181818181824</v>
      </c>
      <c r="E145" s="45">
        <f>SQRT(SUMPRODUCT((graduates!$B$2:$B$301=$B145)*(graduates!$C$2:$C$301-D145)^2)/(COUNTIF(graduates!$B$2:$B$301,$B145)-1))</f>
        <v>8.6421520501849649</v>
      </c>
      <c r="F145" s="45">
        <f t="shared" si="4"/>
        <v>-1.1939366211406788</v>
      </c>
      <c r="G145" s="44">
        <f t="shared" si="5"/>
        <v>-1.1939366211406788</v>
      </c>
      <c r="H145" s="44"/>
      <c r="I145" s="44"/>
      <c r="J145" s="44"/>
    </row>
    <row r="146" spans="1:10" ht="15" customHeight="1" x14ac:dyDescent="0.3">
      <c r="A146" s="44" t="s">
        <v>163</v>
      </c>
      <c r="B146" s="44" t="s">
        <v>117</v>
      </c>
      <c r="C146" s="45">
        <v>68.599999999999994</v>
      </c>
      <c r="D146" s="45">
        <f>AVERAGEIF(graduates!$B$2:$B$301,$B146,graduates!$C$2:$C$301)</f>
        <v>72.118181818181824</v>
      </c>
      <c r="E146" s="45">
        <f>SQRT(SUMPRODUCT((graduates!$B$2:$B$301=$B146)*(graduates!$C$2:$C$301-D146)^2)/(COUNTIF(graduates!$B$2:$B$301,$B146)-1))</f>
        <v>8.6421520501849649</v>
      </c>
      <c r="F146" s="45">
        <f t="shared" si="4"/>
        <v>-0.40709557038012673</v>
      </c>
      <c r="G146" s="44">
        <f t="shared" si="5"/>
        <v>-0.40709557038012673</v>
      </c>
      <c r="H146" s="44"/>
      <c r="I146" s="44"/>
      <c r="J146" s="44"/>
    </row>
    <row r="147" spans="1:10" ht="15" customHeight="1" x14ac:dyDescent="0.3">
      <c r="A147" s="44" t="s">
        <v>164</v>
      </c>
      <c r="B147" s="44" t="s">
        <v>117</v>
      </c>
      <c r="C147" s="45">
        <v>67.2</v>
      </c>
      <c r="D147" s="45">
        <f>AVERAGEIF(graduates!$B$2:$B$301,$B147,graduates!$C$2:$C$301)</f>
        <v>72.118181818181824</v>
      </c>
      <c r="E147" s="45">
        <f>SQRT(SUMPRODUCT((graduates!$B$2:$B$301=$B147)*(graduates!$C$2:$C$301-D147)^2)/(COUNTIF(graduates!$B$2:$B$301,$B147)-1))</f>
        <v>8.6421520501849649</v>
      </c>
      <c r="F147" s="45">
        <f t="shared" si="4"/>
        <v>-0.56909225730141599</v>
      </c>
      <c r="G147" s="44">
        <f t="shared" si="5"/>
        <v>-0.56909225730141599</v>
      </c>
      <c r="H147" s="44"/>
      <c r="I147" s="44"/>
      <c r="J147" s="44"/>
    </row>
    <row r="148" spans="1:10" ht="15" customHeight="1" x14ac:dyDescent="0.3">
      <c r="A148" s="44" t="s">
        <v>165</v>
      </c>
      <c r="B148" s="44" t="s">
        <v>117</v>
      </c>
      <c r="C148" s="45">
        <v>70.2</v>
      </c>
      <c r="D148" s="45">
        <f>AVERAGEIF(graduates!$B$2:$B$301,$B148,graduates!$C$2:$C$301)</f>
        <v>72.118181818181824</v>
      </c>
      <c r="E148" s="45">
        <f>SQRT(SUMPRODUCT((graduates!$B$2:$B$301=$B148)*(graduates!$C$2:$C$301-D148)^2)/(COUNTIF(graduates!$B$2:$B$301,$B148)-1))</f>
        <v>8.6421520501849649</v>
      </c>
      <c r="F148" s="45">
        <f t="shared" si="4"/>
        <v>-0.22195649961293695</v>
      </c>
      <c r="G148" s="44">
        <f t="shared" si="5"/>
        <v>-0.22195649961293695</v>
      </c>
      <c r="H148" s="44"/>
      <c r="I148" s="44"/>
      <c r="J148" s="44"/>
    </row>
    <row r="149" spans="1:10" ht="15" customHeight="1" x14ac:dyDescent="0.3">
      <c r="A149" s="44" t="s">
        <v>166</v>
      </c>
      <c r="B149" s="44" t="s">
        <v>117</v>
      </c>
      <c r="C149" s="45">
        <v>64.5</v>
      </c>
      <c r="D149" s="45">
        <f>AVERAGEIF(graduates!$B$2:$B$301,$B149,graduates!$C$2:$C$301)</f>
        <v>72.118181818181824</v>
      </c>
      <c r="E149" s="45">
        <f>SQRT(SUMPRODUCT((graduates!$B$2:$B$301=$B149)*(graduates!$C$2:$C$301-D149)^2)/(COUNTIF(graduates!$B$2:$B$301,$B149)-1))</f>
        <v>8.6421520501849649</v>
      </c>
      <c r="F149" s="45">
        <f t="shared" si="4"/>
        <v>-0.88151443922104744</v>
      </c>
      <c r="G149" s="44">
        <f t="shared" si="5"/>
        <v>-0.88151443922104744</v>
      </c>
      <c r="H149" s="44"/>
      <c r="I149" s="44"/>
      <c r="J149" s="44"/>
    </row>
    <row r="150" spans="1:10" ht="15" customHeight="1" x14ac:dyDescent="0.3">
      <c r="A150" s="44" t="s">
        <v>167</v>
      </c>
      <c r="B150" s="44" t="s">
        <v>117</v>
      </c>
      <c r="C150" s="45">
        <v>68.099999999999994</v>
      </c>
      <c r="D150" s="45">
        <f>AVERAGEIF(graduates!$B$2:$B$301,$B150,graduates!$C$2:$C$301)</f>
        <v>72.118181818181824</v>
      </c>
      <c r="E150" s="45">
        <f>SQRT(SUMPRODUCT((graduates!$B$2:$B$301=$B150)*(graduates!$C$2:$C$301-D150)^2)/(COUNTIF(graduates!$B$2:$B$301,$B150)-1))</f>
        <v>8.6421520501849649</v>
      </c>
      <c r="F150" s="45">
        <f t="shared" si="4"/>
        <v>-0.46495152999487327</v>
      </c>
      <c r="G150" s="44">
        <f t="shared" si="5"/>
        <v>-0.46495152999487327</v>
      </c>
      <c r="H150" s="44"/>
      <c r="I150" s="44"/>
      <c r="J150" s="44"/>
    </row>
    <row r="151" spans="1:10" ht="15" customHeight="1" x14ac:dyDescent="0.3">
      <c r="A151" s="44" t="s">
        <v>168</v>
      </c>
      <c r="B151" s="44" t="s">
        <v>117</v>
      </c>
      <c r="C151" s="45">
        <v>86.6</v>
      </c>
      <c r="D151" s="45">
        <f>AVERAGEIF(graduates!$B$2:$B$301,$B151,graduates!$C$2:$C$301)</f>
        <v>72.118181818181824</v>
      </c>
      <c r="E151" s="45">
        <f>SQRT(SUMPRODUCT((graduates!$B$2:$B$301=$B151)*(graduates!$C$2:$C$301-D151)^2)/(COUNTIF(graduates!$B$2:$B$301,$B151)-1))</f>
        <v>8.6421520501849649</v>
      </c>
      <c r="F151" s="45">
        <f t="shared" si="4"/>
        <v>1.6757189757507474</v>
      </c>
      <c r="G151" s="44">
        <f t="shared" si="5"/>
        <v>1.6757189757507474</v>
      </c>
      <c r="H151" s="44"/>
      <c r="I151" s="44"/>
      <c r="J151" s="44"/>
    </row>
    <row r="152" spans="1:10" ht="15" customHeight="1" x14ac:dyDescent="0.3">
      <c r="A152" s="44" t="s">
        <v>169</v>
      </c>
      <c r="B152" s="44" t="s">
        <v>117</v>
      </c>
      <c r="C152" s="45">
        <v>75.2</v>
      </c>
      <c r="D152" s="45">
        <f>AVERAGEIF(graduates!$B$2:$B$301,$B152,graduates!$C$2:$C$301)</f>
        <v>72.118181818181824</v>
      </c>
      <c r="E152" s="45">
        <f>SQRT(SUMPRODUCT((graduates!$B$2:$B$301=$B152)*(graduates!$C$2:$C$301-D152)^2)/(COUNTIF(graduates!$B$2:$B$301,$B152)-1))</f>
        <v>8.6421520501849649</v>
      </c>
      <c r="F152" s="45">
        <f t="shared" si="4"/>
        <v>0.35660309653452804</v>
      </c>
      <c r="G152" s="44">
        <f t="shared" si="5"/>
        <v>0.35660309653452804</v>
      </c>
      <c r="H152" s="44"/>
      <c r="I152" s="44"/>
      <c r="J152" s="44"/>
    </row>
    <row r="153" spans="1:10" ht="15" customHeight="1" x14ac:dyDescent="0.3">
      <c r="A153" s="44" t="s">
        <v>170</v>
      </c>
      <c r="B153" s="44" t="s">
        <v>117</v>
      </c>
      <c r="C153" s="45">
        <v>79.8</v>
      </c>
      <c r="D153" s="45">
        <f>AVERAGEIF(graduates!$B$2:$B$301,$B153,graduates!$C$2:$C$301)</f>
        <v>72.118181818181824</v>
      </c>
      <c r="E153" s="45">
        <f>SQRT(SUMPRODUCT((graduates!$B$2:$B$301=$B153)*(graduates!$C$2:$C$301-D153)^2)/(COUNTIF(graduates!$B$2:$B$301,$B153)-1))</f>
        <v>8.6421520501849649</v>
      </c>
      <c r="F153" s="45">
        <f t="shared" si="4"/>
        <v>0.88887792499019513</v>
      </c>
      <c r="G153" s="44">
        <f t="shared" si="5"/>
        <v>0.88887792499019513</v>
      </c>
      <c r="H153" s="44"/>
      <c r="I153" s="44"/>
      <c r="J153" s="44"/>
    </row>
    <row r="154" spans="1:10" ht="15" customHeight="1" x14ac:dyDescent="0.3">
      <c r="A154" s="44" t="s">
        <v>171</v>
      </c>
      <c r="B154" s="44" t="s">
        <v>117</v>
      </c>
      <c r="C154" s="45">
        <v>63.5</v>
      </c>
      <c r="D154" s="45">
        <f>AVERAGEIF(graduates!$B$2:$B$301,$B154,graduates!$C$2:$C$301)</f>
        <v>72.118181818181824</v>
      </c>
      <c r="E154" s="45">
        <f>SQRT(SUMPRODUCT((graduates!$B$2:$B$301=$B154)*(graduates!$C$2:$C$301-D154)^2)/(COUNTIF(graduates!$B$2:$B$301,$B154)-1))</f>
        <v>8.6421520501849649</v>
      </c>
      <c r="F154" s="45">
        <f t="shared" si="4"/>
        <v>-0.99722635845054042</v>
      </c>
      <c r="G154" s="44">
        <f t="shared" si="5"/>
        <v>-0.99722635845054042</v>
      </c>
      <c r="H154" s="44"/>
      <c r="I154" s="44"/>
      <c r="J154" s="44"/>
    </row>
    <row r="155" spans="1:10" ht="15" customHeight="1" x14ac:dyDescent="0.3">
      <c r="A155" s="44" t="s">
        <v>172</v>
      </c>
      <c r="B155" s="44" t="s">
        <v>117</v>
      </c>
      <c r="C155" s="45">
        <v>88.2</v>
      </c>
      <c r="D155" s="45">
        <f>AVERAGEIF(graduates!$B$2:$B$301,$B155,graduates!$C$2:$C$301)</f>
        <v>72.118181818181824</v>
      </c>
      <c r="E155" s="45">
        <f>SQRT(SUMPRODUCT((graduates!$B$2:$B$301=$B155)*(graduates!$C$2:$C$301-D155)^2)/(COUNTIF(graduates!$B$2:$B$301,$B155)-1))</f>
        <v>8.6421520501849649</v>
      </c>
      <c r="F155" s="45">
        <f t="shared" si="4"/>
        <v>1.860858046517937</v>
      </c>
      <c r="G155" s="44">
        <f t="shared" si="5"/>
        <v>1.860858046517937</v>
      </c>
      <c r="H155" s="44"/>
      <c r="I155" s="44"/>
      <c r="J155" s="44"/>
    </row>
    <row r="156" spans="1:10" ht="15" customHeight="1" x14ac:dyDescent="0.3">
      <c r="A156" s="44" t="s">
        <v>173</v>
      </c>
      <c r="B156" s="44" t="s">
        <v>117</v>
      </c>
      <c r="C156" s="45">
        <v>63.8</v>
      </c>
      <c r="D156" s="45">
        <f>AVERAGEIF(graduates!$B$2:$B$301,$B156,graduates!$C$2:$C$301)</f>
        <v>72.118181818181824</v>
      </c>
      <c r="E156" s="45">
        <f>SQRT(SUMPRODUCT((graduates!$B$2:$B$301=$B156)*(graduates!$C$2:$C$301-D156)^2)/(COUNTIF(graduates!$B$2:$B$301,$B156)-1))</f>
        <v>8.6421520501849649</v>
      </c>
      <c r="F156" s="45">
        <f t="shared" si="4"/>
        <v>-0.96251278268169282</v>
      </c>
      <c r="G156" s="44">
        <f t="shared" si="5"/>
        <v>-0.96251278268169282</v>
      </c>
      <c r="H156" s="44"/>
      <c r="I156" s="44"/>
      <c r="J156" s="44"/>
    </row>
    <row r="157" spans="1:10" ht="15" customHeight="1" x14ac:dyDescent="0.3">
      <c r="A157" s="44" t="s">
        <v>174</v>
      </c>
      <c r="B157" s="44" t="s">
        <v>117</v>
      </c>
      <c r="C157" s="45">
        <v>49.6</v>
      </c>
      <c r="D157" s="45">
        <f>AVERAGEIF(graduates!$B$2:$B$301,$B157,graduates!$C$2:$C$301)</f>
        <v>72.118181818181824</v>
      </c>
      <c r="E157" s="45">
        <f>SQRT(SUMPRODUCT((graduates!$B$2:$B$301=$B157)*(graduates!$C$2:$C$301-D157)^2)/(COUNTIF(graduates!$B$2:$B$301,$B157)-1))</f>
        <v>8.6421520501849649</v>
      </c>
      <c r="F157" s="45">
        <f t="shared" si="4"/>
        <v>-2.6056220357404931</v>
      </c>
      <c r="G157" s="44">
        <f t="shared" si="5"/>
        <v>-2.6056220357404931</v>
      </c>
      <c r="H157" s="44"/>
      <c r="I157" s="44"/>
      <c r="J157" s="44"/>
    </row>
    <row r="158" spans="1:10" ht="15" customHeight="1" x14ac:dyDescent="0.3">
      <c r="A158" s="44" t="s">
        <v>175</v>
      </c>
      <c r="B158" s="44" t="s">
        <v>117</v>
      </c>
      <c r="C158" s="45">
        <v>72.400000000000006</v>
      </c>
      <c r="D158" s="45">
        <f>AVERAGEIF(graduates!$B$2:$B$301,$B158,graduates!$C$2:$C$301)</f>
        <v>72.118181818181824</v>
      </c>
      <c r="E158" s="45">
        <f>SQRT(SUMPRODUCT((graduates!$B$2:$B$301=$B158)*(graduates!$C$2:$C$301-D158)^2)/(COUNTIF(graduates!$B$2:$B$301,$B158)-1))</f>
        <v>8.6421520501849649</v>
      </c>
      <c r="F158" s="45">
        <f t="shared" si="4"/>
        <v>3.2609722691947965E-2</v>
      </c>
      <c r="G158" s="44">
        <f t="shared" si="5"/>
        <v>3.2609722691947965E-2</v>
      </c>
      <c r="H158" s="44"/>
      <c r="I158" s="44"/>
      <c r="J158" s="44"/>
    </row>
    <row r="159" spans="1:10" ht="15" customHeight="1" x14ac:dyDescent="0.3">
      <c r="A159" s="44" t="s">
        <v>176</v>
      </c>
      <c r="B159" s="44" t="s">
        <v>117</v>
      </c>
      <c r="C159" s="45">
        <v>67.2</v>
      </c>
      <c r="D159" s="45">
        <f>AVERAGEIF(graduates!$B$2:$B$301,$B159,graduates!$C$2:$C$301)</f>
        <v>72.118181818181824</v>
      </c>
      <c r="E159" s="45">
        <f>SQRT(SUMPRODUCT((graduates!$B$2:$B$301=$B159)*(graduates!$C$2:$C$301-D159)^2)/(COUNTIF(graduates!$B$2:$B$301,$B159)-1))</f>
        <v>8.6421520501849649</v>
      </c>
      <c r="F159" s="45">
        <f t="shared" si="4"/>
        <v>-0.56909225730141599</v>
      </c>
      <c r="G159" s="44">
        <f t="shared" si="5"/>
        <v>-0.56909225730141599</v>
      </c>
      <c r="H159" s="44"/>
      <c r="I159" s="44"/>
      <c r="J159" s="44"/>
    </row>
    <row r="160" spans="1:10" ht="15" customHeight="1" x14ac:dyDescent="0.3">
      <c r="A160" s="44" t="s">
        <v>177</v>
      </c>
      <c r="B160" s="44" t="s">
        <v>117</v>
      </c>
      <c r="C160" s="45">
        <v>80.599999999999994</v>
      </c>
      <c r="D160" s="45">
        <f>AVERAGEIF(graduates!$B$2:$B$301,$B160,graduates!$C$2:$C$301)</f>
        <v>72.118181818181824</v>
      </c>
      <c r="E160" s="45">
        <f>SQRT(SUMPRODUCT((graduates!$B$2:$B$301=$B160)*(graduates!$C$2:$C$301-D160)^2)/(COUNTIF(graduates!$B$2:$B$301,$B160)-1))</f>
        <v>8.6421520501849649</v>
      </c>
      <c r="F160" s="45">
        <f t="shared" si="4"/>
        <v>0.98144746037378927</v>
      </c>
      <c r="G160" s="44">
        <f t="shared" si="5"/>
        <v>0.98144746037378927</v>
      </c>
      <c r="H160" s="44"/>
      <c r="I160" s="44"/>
      <c r="J160" s="44"/>
    </row>
    <row r="161" spans="1:10" ht="15" customHeight="1" x14ac:dyDescent="0.3">
      <c r="A161" s="44" t="s">
        <v>178</v>
      </c>
      <c r="B161" s="44" t="s">
        <v>117</v>
      </c>
      <c r="C161" s="45">
        <v>57.3</v>
      </c>
      <c r="D161" s="45">
        <f>AVERAGEIF(graduates!$B$2:$B$301,$B161,graduates!$C$2:$C$301)</f>
        <v>72.118181818181824</v>
      </c>
      <c r="E161" s="45">
        <f>SQRT(SUMPRODUCT((graduates!$B$2:$B$301=$B161)*(graduates!$C$2:$C$301-D161)^2)/(COUNTIF(graduates!$B$2:$B$301,$B161)-1))</f>
        <v>8.6421520501849649</v>
      </c>
      <c r="F161" s="45">
        <f t="shared" si="4"/>
        <v>-1.7146402576733972</v>
      </c>
      <c r="G161" s="44">
        <f t="shared" si="5"/>
        <v>-1.7146402576733972</v>
      </c>
      <c r="H161" s="44"/>
      <c r="I161" s="44"/>
      <c r="J161" s="44"/>
    </row>
    <row r="162" spans="1:10" ht="15" customHeight="1" x14ac:dyDescent="0.3">
      <c r="A162" s="44" t="s">
        <v>179</v>
      </c>
      <c r="B162" s="44" t="s">
        <v>117</v>
      </c>
      <c r="C162" s="45">
        <v>65.3</v>
      </c>
      <c r="D162" s="45">
        <f>AVERAGEIF(graduates!$B$2:$B$301,$B162,graduates!$C$2:$C$301)</f>
        <v>72.118181818181824</v>
      </c>
      <c r="E162" s="45">
        <f>SQRT(SUMPRODUCT((graduates!$B$2:$B$301=$B162)*(graduates!$C$2:$C$301-D162)^2)/(COUNTIF(graduates!$B$2:$B$301,$B162)-1))</f>
        <v>8.6421520501849649</v>
      </c>
      <c r="F162" s="45">
        <f t="shared" si="4"/>
        <v>-0.7889449038374533</v>
      </c>
      <c r="G162" s="44">
        <f t="shared" si="5"/>
        <v>-0.7889449038374533</v>
      </c>
      <c r="H162" s="44"/>
      <c r="I162" s="44"/>
      <c r="J162" s="44"/>
    </row>
    <row r="163" spans="1:10" ht="15" customHeight="1" x14ac:dyDescent="0.3">
      <c r="A163" s="44" t="s">
        <v>180</v>
      </c>
      <c r="B163" s="44" t="s">
        <v>117</v>
      </c>
      <c r="C163" s="45">
        <v>71.2</v>
      </c>
      <c r="D163" s="45">
        <f>AVERAGEIF(graduates!$B$2:$B$301,$B163,graduates!$C$2:$C$301)</f>
        <v>72.118181818181824</v>
      </c>
      <c r="E163" s="45">
        <f>SQRT(SUMPRODUCT((graduates!$B$2:$B$301=$B163)*(graduates!$C$2:$C$301-D163)^2)/(COUNTIF(graduates!$B$2:$B$301,$B163)-1))</f>
        <v>8.6421520501849649</v>
      </c>
      <c r="F163" s="45">
        <f t="shared" si="4"/>
        <v>-0.10624458038344396</v>
      </c>
      <c r="G163" s="44">
        <f t="shared" si="5"/>
        <v>-0.10624458038344396</v>
      </c>
      <c r="H163" s="44"/>
      <c r="I163" s="44"/>
      <c r="J163" s="44"/>
    </row>
    <row r="164" spans="1:10" ht="15" customHeight="1" x14ac:dyDescent="0.3">
      <c r="A164" s="44" t="s">
        <v>181</v>
      </c>
      <c r="B164" s="44" t="s">
        <v>117</v>
      </c>
      <c r="C164" s="45">
        <v>65.7</v>
      </c>
      <c r="D164" s="45">
        <f>AVERAGEIF(graduates!$B$2:$B$301,$B164,graduates!$C$2:$C$301)</f>
        <v>72.118181818181824</v>
      </c>
      <c r="E164" s="45">
        <f>SQRT(SUMPRODUCT((graduates!$B$2:$B$301=$B164)*(graduates!$C$2:$C$301-D164)^2)/(COUNTIF(graduates!$B$2:$B$301,$B164)-1))</f>
        <v>8.6421520501849649</v>
      </c>
      <c r="F164" s="45">
        <f t="shared" si="4"/>
        <v>-0.74266013614565551</v>
      </c>
      <c r="G164" s="44">
        <f t="shared" si="5"/>
        <v>-0.74266013614565551</v>
      </c>
      <c r="H164" s="44"/>
      <c r="I164" s="44"/>
      <c r="J164" s="44"/>
    </row>
    <row r="165" spans="1:10" ht="15" customHeight="1" x14ac:dyDescent="0.3">
      <c r="A165" s="44" t="s">
        <v>182</v>
      </c>
      <c r="B165" s="44" t="s">
        <v>117</v>
      </c>
      <c r="C165" s="45">
        <v>57</v>
      </c>
      <c r="D165" s="45">
        <f>AVERAGEIF(graduates!$B$2:$B$301,$B165,graduates!$C$2:$C$301)</f>
        <v>72.118181818181824</v>
      </c>
      <c r="E165" s="45">
        <f>SQRT(SUMPRODUCT((graduates!$B$2:$B$301=$B165)*(graduates!$C$2:$C$301-D165)^2)/(COUNTIF(graduates!$B$2:$B$301,$B165)-1))</f>
        <v>8.6421520501849649</v>
      </c>
      <c r="F165" s="45">
        <f t="shared" si="4"/>
        <v>-1.7493538334422449</v>
      </c>
      <c r="G165" s="44">
        <f t="shared" si="5"/>
        <v>-1.7493538334422449</v>
      </c>
      <c r="H165" s="44"/>
      <c r="I165" s="44"/>
      <c r="J165" s="44"/>
    </row>
    <row r="166" spans="1:10" ht="15" customHeight="1" x14ac:dyDescent="0.3">
      <c r="A166" s="44" t="s">
        <v>183</v>
      </c>
      <c r="B166" s="44" t="s">
        <v>117</v>
      </c>
      <c r="C166" s="45">
        <v>63.8</v>
      </c>
      <c r="D166" s="45">
        <f>AVERAGEIF(graduates!$B$2:$B$301,$B166,graduates!$C$2:$C$301)</f>
        <v>72.118181818181824</v>
      </c>
      <c r="E166" s="45">
        <f>SQRT(SUMPRODUCT((graduates!$B$2:$B$301=$B166)*(graduates!$C$2:$C$301-D166)^2)/(COUNTIF(graduates!$B$2:$B$301,$B166)-1))</f>
        <v>8.6421520501849649</v>
      </c>
      <c r="F166" s="45">
        <f t="shared" si="4"/>
        <v>-0.96251278268169282</v>
      </c>
      <c r="G166" s="44">
        <f t="shared" si="5"/>
        <v>-0.96251278268169282</v>
      </c>
      <c r="H166" s="44"/>
      <c r="I166" s="44"/>
      <c r="J166" s="44"/>
    </row>
    <row r="167" spans="1:10" ht="15" customHeight="1" x14ac:dyDescent="0.3">
      <c r="A167" s="44" t="s">
        <v>184</v>
      </c>
      <c r="B167" s="44" t="s">
        <v>117</v>
      </c>
      <c r="C167" s="45">
        <v>67</v>
      </c>
      <c r="D167" s="45">
        <f>AVERAGEIF(graduates!$B$2:$B$301,$B167,graduates!$C$2:$C$301)</f>
        <v>72.118181818181824</v>
      </c>
      <c r="E167" s="45">
        <f>SQRT(SUMPRODUCT((graduates!$B$2:$B$301=$B167)*(graduates!$C$2:$C$301-D167)^2)/(COUNTIF(graduates!$B$2:$B$301,$B167)-1))</f>
        <v>8.6421520501849649</v>
      </c>
      <c r="F167" s="45">
        <f t="shared" si="4"/>
        <v>-0.59223464114731494</v>
      </c>
      <c r="G167" s="44">
        <f t="shared" si="5"/>
        <v>-0.59223464114731494</v>
      </c>
      <c r="H167" s="44"/>
      <c r="I167" s="44"/>
      <c r="J167" s="44"/>
    </row>
    <row r="168" spans="1:10" ht="15" customHeight="1" x14ac:dyDescent="0.3">
      <c r="A168" s="44" t="s">
        <v>185</v>
      </c>
      <c r="B168" s="44" t="s">
        <v>117</v>
      </c>
      <c r="C168" s="45">
        <v>73</v>
      </c>
      <c r="D168" s="45">
        <f>AVERAGEIF(graduates!$B$2:$B$301,$B168,graduates!$C$2:$C$301)</f>
        <v>72.118181818181824</v>
      </c>
      <c r="E168" s="45">
        <f>SQRT(SUMPRODUCT((graduates!$B$2:$B$301=$B168)*(graduates!$C$2:$C$301-D168)^2)/(COUNTIF(graduates!$B$2:$B$301,$B168)-1))</f>
        <v>8.6421520501849649</v>
      </c>
      <c r="F168" s="45">
        <f t="shared" si="4"/>
        <v>0.10203687422964311</v>
      </c>
      <c r="G168" s="44">
        <f t="shared" si="5"/>
        <v>0.10203687422964311</v>
      </c>
      <c r="H168" s="44"/>
      <c r="I168" s="44"/>
      <c r="J168" s="44"/>
    </row>
    <row r="169" spans="1:10" ht="15" customHeight="1" x14ac:dyDescent="0.3">
      <c r="A169" s="44" t="s">
        <v>186</v>
      </c>
      <c r="B169" s="44" t="s">
        <v>117</v>
      </c>
      <c r="C169" s="45">
        <v>60.4</v>
      </c>
      <c r="D169" s="45">
        <f>AVERAGEIF(graduates!$B$2:$B$301,$B169,graduates!$C$2:$C$301)</f>
        <v>72.118181818181824</v>
      </c>
      <c r="E169" s="45">
        <f>SQRT(SUMPRODUCT((graduates!$B$2:$B$301=$B169)*(graduates!$C$2:$C$301-D169)^2)/(COUNTIF(graduates!$B$2:$B$301,$B169)-1))</f>
        <v>8.6421520501849649</v>
      </c>
      <c r="F169" s="45">
        <f t="shared" si="4"/>
        <v>-1.3559333080619689</v>
      </c>
      <c r="G169" s="44">
        <f t="shared" si="5"/>
        <v>-1.3559333080619689</v>
      </c>
      <c r="H169" s="44"/>
      <c r="I169" s="44"/>
      <c r="J169" s="44"/>
    </row>
    <row r="170" spans="1:10" ht="15" customHeight="1" x14ac:dyDescent="0.3">
      <c r="A170" s="44" t="s">
        <v>187</v>
      </c>
      <c r="B170" s="44" t="s">
        <v>117</v>
      </c>
      <c r="C170" s="45">
        <v>80.599999999999994</v>
      </c>
      <c r="D170" s="45">
        <f>AVERAGEIF(graduates!$B$2:$B$301,$B170,graduates!$C$2:$C$301)</f>
        <v>72.118181818181824</v>
      </c>
      <c r="E170" s="45">
        <f>SQRT(SUMPRODUCT((graduates!$B$2:$B$301=$B170)*(graduates!$C$2:$C$301-D170)^2)/(COUNTIF(graduates!$B$2:$B$301,$B170)-1))</f>
        <v>8.6421520501849649</v>
      </c>
      <c r="F170" s="45">
        <f t="shared" si="4"/>
        <v>0.98144746037378927</v>
      </c>
      <c r="G170" s="44">
        <f t="shared" si="5"/>
        <v>0.98144746037378927</v>
      </c>
      <c r="H170" s="44"/>
      <c r="I170" s="44"/>
      <c r="J170" s="44"/>
    </row>
    <row r="171" spans="1:10" ht="15" customHeight="1" x14ac:dyDescent="0.3">
      <c r="A171" s="44" t="s">
        <v>188</v>
      </c>
      <c r="B171" s="44" t="s">
        <v>117</v>
      </c>
      <c r="C171" s="45">
        <v>76.599999999999994</v>
      </c>
      <c r="D171" s="45">
        <f>AVERAGEIF(graduates!$B$2:$B$301,$B171,graduates!$C$2:$C$301)</f>
        <v>72.118181818181824</v>
      </c>
      <c r="E171" s="45">
        <f>SQRT(SUMPRODUCT((graduates!$B$2:$B$301=$B171)*(graduates!$C$2:$C$301-D171)^2)/(COUNTIF(graduates!$B$2:$B$301,$B171)-1))</f>
        <v>8.6421520501849649</v>
      </c>
      <c r="F171" s="45">
        <f t="shared" si="4"/>
        <v>0.51859978345581725</v>
      </c>
      <c r="G171" s="44">
        <f t="shared" si="5"/>
        <v>0.51859978345581725</v>
      </c>
      <c r="H171" s="44"/>
      <c r="I171" s="44"/>
      <c r="J171" s="44"/>
    </row>
    <row r="172" spans="1:10" ht="15" customHeight="1" x14ac:dyDescent="0.3">
      <c r="A172" s="44" t="s">
        <v>189</v>
      </c>
      <c r="B172" s="44" t="s">
        <v>117</v>
      </c>
      <c r="C172" s="45">
        <v>74.8</v>
      </c>
      <c r="D172" s="45">
        <f>AVERAGEIF(graduates!$B$2:$B$301,$B172,graduates!$C$2:$C$301)</f>
        <v>72.118181818181824</v>
      </c>
      <c r="E172" s="45">
        <f>SQRT(SUMPRODUCT((graduates!$B$2:$B$301=$B172)*(graduates!$C$2:$C$301-D172)^2)/(COUNTIF(graduates!$B$2:$B$301,$B172)-1))</f>
        <v>8.6421520501849649</v>
      </c>
      <c r="F172" s="45">
        <f t="shared" si="4"/>
        <v>0.3103183288427302</v>
      </c>
      <c r="G172" s="44">
        <f t="shared" si="5"/>
        <v>0.3103183288427302</v>
      </c>
      <c r="H172" s="44"/>
      <c r="I172" s="44"/>
      <c r="J172" s="44"/>
    </row>
    <row r="173" spans="1:10" ht="15" customHeight="1" x14ac:dyDescent="0.3">
      <c r="A173" s="44" t="s">
        <v>190</v>
      </c>
      <c r="B173" s="44" t="s">
        <v>117</v>
      </c>
      <c r="C173" s="45">
        <v>76.2</v>
      </c>
      <c r="D173" s="45">
        <f>AVERAGEIF(graduates!$B$2:$B$301,$B173,graduates!$C$2:$C$301)</f>
        <v>72.118181818181824</v>
      </c>
      <c r="E173" s="45">
        <f>SQRT(SUMPRODUCT((graduates!$B$2:$B$301=$B173)*(graduates!$C$2:$C$301-D173)^2)/(COUNTIF(graduates!$B$2:$B$301,$B173)-1))</f>
        <v>8.6421520501849649</v>
      </c>
      <c r="F173" s="45">
        <f t="shared" si="4"/>
        <v>0.47231501576402102</v>
      </c>
      <c r="G173" s="44">
        <f t="shared" si="5"/>
        <v>0.47231501576402102</v>
      </c>
      <c r="H173" s="44"/>
      <c r="I173" s="44"/>
      <c r="J173" s="44"/>
    </row>
    <row r="174" spans="1:10" ht="15" customHeight="1" x14ac:dyDescent="0.3">
      <c r="A174" s="44" t="s">
        <v>191</v>
      </c>
      <c r="B174" s="44" t="s">
        <v>117</v>
      </c>
      <c r="C174" s="45">
        <v>61.6</v>
      </c>
      <c r="D174" s="45">
        <f>AVERAGEIF(graduates!$B$2:$B$301,$B174,graduates!$C$2:$C$301)</f>
        <v>72.118181818181824</v>
      </c>
      <c r="E174" s="45">
        <f>SQRT(SUMPRODUCT((graduates!$B$2:$B$301=$B174)*(graduates!$C$2:$C$301-D174)^2)/(COUNTIF(graduates!$B$2:$B$301,$B174)-1))</f>
        <v>8.6421520501849649</v>
      </c>
      <c r="F174" s="45">
        <f t="shared" si="4"/>
        <v>-1.217079004986577</v>
      </c>
      <c r="G174" s="44">
        <f t="shared" si="5"/>
        <v>-1.217079004986577</v>
      </c>
      <c r="H174" s="44"/>
      <c r="I174" s="44"/>
      <c r="J174" s="44"/>
    </row>
    <row r="175" spans="1:10" ht="15" customHeight="1" x14ac:dyDescent="0.3">
      <c r="A175" s="44" t="s">
        <v>192</v>
      </c>
      <c r="B175" s="44" t="s">
        <v>117</v>
      </c>
      <c r="C175" s="45">
        <v>81.2</v>
      </c>
      <c r="D175" s="45">
        <f>AVERAGEIF(graduates!$B$2:$B$301,$B175,graduates!$C$2:$C$301)</f>
        <v>72.118181818181824</v>
      </c>
      <c r="E175" s="45">
        <f>SQRT(SUMPRODUCT((graduates!$B$2:$B$301=$B175)*(graduates!$C$2:$C$301-D175)^2)/(COUNTIF(graduates!$B$2:$B$301,$B175)-1))</f>
        <v>8.6421520501849649</v>
      </c>
      <c r="F175" s="45">
        <f t="shared" si="4"/>
        <v>1.050874611911486</v>
      </c>
      <c r="G175" s="44">
        <f t="shared" si="5"/>
        <v>1.050874611911486</v>
      </c>
      <c r="H175" s="44"/>
      <c r="I175" s="44"/>
      <c r="J175" s="44"/>
    </row>
    <row r="176" spans="1:10" ht="15" customHeight="1" x14ac:dyDescent="0.3">
      <c r="A176" s="44" t="s">
        <v>193</v>
      </c>
      <c r="B176" s="44" t="s">
        <v>117</v>
      </c>
      <c r="C176" s="45">
        <v>78.900000000000006</v>
      </c>
      <c r="D176" s="45">
        <f>AVERAGEIF(graduates!$B$2:$B$301,$B176,graduates!$C$2:$C$301)</f>
        <v>72.118181818181824</v>
      </c>
      <c r="E176" s="45">
        <f>SQRT(SUMPRODUCT((graduates!$B$2:$B$301=$B176)*(graduates!$C$2:$C$301-D176)^2)/(COUNTIF(graduates!$B$2:$B$301,$B176)-1))</f>
        <v>8.6421520501849649</v>
      </c>
      <c r="F176" s="45">
        <f t="shared" si="4"/>
        <v>0.78473719768365247</v>
      </c>
      <c r="G176" s="44">
        <f t="shared" si="5"/>
        <v>0.78473719768365247</v>
      </c>
      <c r="H176" s="44"/>
      <c r="I176" s="44"/>
      <c r="J176" s="44"/>
    </row>
    <row r="177" spans="1:10" ht="15" customHeight="1" x14ac:dyDescent="0.3">
      <c r="A177" s="44" t="s">
        <v>194</v>
      </c>
      <c r="B177" s="44" t="s">
        <v>117</v>
      </c>
      <c r="C177" s="45">
        <v>66.099999999999994</v>
      </c>
      <c r="D177" s="45">
        <f>AVERAGEIF(graduates!$B$2:$B$301,$B177,graduates!$C$2:$C$301)</f>
        <v>72.118181818181824</v>
      </c>
      <c r="E177" s="45">
        <f>SQRT(SUMPRODUCT((graduates!$B$2:$B$301=$B177)*(graduates!$C$2:$C$301-D177)^2)/(COUNTIF(graduates!$B$2:$B$301,$B177)-1))</f>
        <v>8.6421520501849649</v>
      </c>
      <c r="F177" s="45">
        <f t="shared" si="4"/>
        <v>-0.69637536845385928</v>
      </c>
      <c r="G177" s="44">
        <f t="shared" si="5"/>
        <v>-0.69637536845385928</v>
      </c>
      <c r="H177" s="44"/>
      <c r="I177" s="44"/>
      <c r="J177" s="44"/>
    </row>
    <row r="178" spans="1:10" ht="15" customHeight="1" x14ac:dyDescent="0.3">
      <c r="A178" s="44" t="s">
        <v>195</v>
      </c>
      <c r="B178" s="44" t="s">
        <v>117</v>
      </c>
      <c r="C178" s="45">
        <v>80.7</v>
      </c>
      <c r="D178" s="45">
        <f>AVERAGEIF(graduates!$B$2:$B$301,$B178,graduates!$C$2:$C$301)</f>
        <v>72.118181818181824</v>
      </c>
      <c r="E178" s="45">
        <f>SQRT(SUMPRODUCT((graduates!$B$2:$B$301=$B178)*(graduates!$C$2:$C$301-D178)^2)/(COUNTIF(graduates!$B$2:$B$301,$B178)-1))</f>
        <v>8.6421520501849649</v>
      </c>
      <c r="F178" s="45">
        <f t="shared" si="4"/>
        <v>0.99301865229673958</v>
      </c>
      <c r="G178" s="44">
        <f t="shared" si="5"/>
        <v>0.99301865229673958</v>
      </c>
      <c r="H178" s="44"/>
      <c r="I178" s="44"/>
      <c r="J178" s="44"/>
    </row>
    <row r="179" spans="1:10" ht="15" customHeight="1" x14ac:dyDescent="0.3">
      <c r="A179" s="44" t="s">
        <v>196</v>
      </c>
      <c r="B179" s="44" t="s">
        <v>117</v>
      </c>
      <c r="C179" s="45">
        <v>73.5</v>
      </c>
      <c r="D179" s="45">
        <f>AVERAGEIF(graduates!$B$2:$B$301,$B179,graduates!$C$2:$C$301)</f>
        <v>72.118181818181824</v>
      </c>
      <c r="E179" s="45">
        <f>SQRT(SUMPRODUCT((graduates!$B$2:$B$301=$B179)*(graduates!$C$2:$C$301-D179)^2)/(COUNTIF(graduates!$B$2:$B$301,$B179)-1))</f>
        <v>8.6421520501849649</v>
      </c>
      <c r="F179" s="45">
        <f t="shared" si="4"/>
        <v>0.1598928338443896</v>
      </c>
      <c r="G179" s="44">
        <f t="shared" si="5"/>
        <v>0.1598928338443896</v>
      </c>
      <c r="H179" s="44"/>
      <c r="I179" s="44"/>
      <c r="J179" s="44"/>
    </row>
    <row r="180" spans="1:10" ht="15" customHeight="1" x14ac:dyDescent="0.3">
      <c r="A180" s="44" t="s">
        <v>197</v>
      </c>
      <c r="B180" s="44" t="s">
        <v>117</v>
      </c>
      <c r="C180" s="45">
        <v>80.8</v>
      </c>
      <c r="D180" s="45">
        <f>AVERAGEIF(graduates!$B$2:$B$301,$B180,graduates!$C$2:$C$301)</f>
        <v>72.118181818181824</v>
      </c>
      <c r="E180" s="45">
        <f>SQRT(SUMPRODUCT((graduates!$B$2:$B$301=$B180)*(graduates!$C$2:$C$301-D180)^2)/(COUNTIF(graduates!$B$2:$B$301,$B180)-1))</f>
        <v>8.6421520501849649</v>
      </c>
      <c r="F180" s="45">
        <f t="shared" si="4"/>
        <v>1.0045898442196881</v>
      </c>
      <c r="G180" s="44">
        <f t="shared" si="5"/>
        <v>1.0045898442196881</v>
      </c>
      <c r="H180" s="44"/>
      <c r="I180" s="44"/>
      <c r="J180" s="44"/>
    </row>
    <row r="181" spans="1:10" ht="15" customHeight="1" x14ac:dyDescent="0.3">
      <c r="A181" s="44" t="s">
        <v>198</v>
      </c>
      <c r="B181" s="44" t="s">
        <v>117</v>
      </c>
      <c r="C181" s="45">
        <v>69.2</v>
      </c>
      <c r="D181" s="45">
        <f>AVERAGEIF(graduates!$B$2:$B$301,$B181,graduates!$C$2:$C$301)</f>
        <v>72.118181818181824</v>
      </c>
      <c r="E181" s="45">
        <f>SQRT(SUMPRODUCT((graduates!$B$2:$B$301=$B181)*(graduates!$C$2:$C$301-D181)^2)/(COUNTIF(graduates!$B$2:$B$301,$B181)-1))</f>
        <v>8.6421520501849649</v>
      </c>
      <c r="F181" s="45">
        <f t="shared" si="4"/>
        <v>-0.33766841884242998</v>
      </c>
      <c r="G181" s="44">
        <f t="shared" si="5"/>
        <v>-0.33766841884242998</v>
      </c>
      <c r="H181" s="44"/>
      <c r="I181" s="44"/>
      <c r="J181" s="44"/>
    </row>
    <row r="182" spans="1:10" ht="15" customHeight="1" x14ac:dyDescent="0.3">
      <c r="A182" s="44" t="s">
        <v>199</v>
      </c>
      <c r="B182" s="44" t="s">
        <v>117</v>
      </c>
      <c r="C182" s="45">
        <v>86.6</v>
      </c>
      <c r="D182" s="45">
        <f>AVERAGEIF(graduates!$B$2:$B$301,$B182,graduates!$C$2:$C$301)</f>
        <v>72.118181818181824</v>
      </c>
      <c r="E182" s="45">
        <f>SQRT(SUMPRODUCT((graduates!$B$2:$B$301=$B182)*(graduates!$C$2:$C$301-D182)^2)/(COUNTIF(graduates!$B$2:$B$301,$B182)-1))</f>
        <v>8.6421520501849649</v>
      </c>
      <c r="F182" s="45">
        <f t="shared" si="4"/>
        <v>1.6757189757507474</v>
      </c>
      <c r="G182" s="44">
        <f t="shared" si="5"/>
        <v>1.6757189757507474</v>
      </c>
      <c r="H182" s="44"/>
      <c r="I182" s="44"/>
      <c r="J182" s="44"/>
    </row>
    <row r="183" spans="1:10" ht="15" customHeight="1" x14ac:dyDescent="0.3">
      <c r="A183" s="44" t="s">
        <v>200</v>
      </c>
      <c r="B183" s="44" t="s">
        <v>117</v>
      </c>
      <c r="C183" s="45">
        <v>72.7</v>
      </c>
      <c r="D183" s="45">
        <f>AVERAGEIF(graduates!$B$2:$B$301,$B183,graduates!$C$2:$C$301)</f>
        <v>72.118181818181824</v>
      </c>
      <c r="E183" s="45">
        <f>SQRT(SUMPRODUCT((graduates!$B$2:$B$301=$B183)*(graduates!$C$2:$C$301-D183)^2)/(COUNTIF(graduates!$B$2:$B$301,$B183)-1))</f>
        <v>8.6421520501849649</v>
      </c>
      <c r="F183" s="45">
        <f t="shared" si="4"/>
        <v>6.7323298460795544E-2</v>
      </c>
      <c r="G183" s="44">
        <f t="shared" si="5"/>
        <v>6.7323298460795544E-2</v>
      </c>
      <c r="H183" s="44"/>
      <c r="I183" s="44"/>
      <c r="J183" s="44"/>
    </row>
    <row r="184" spans="1:10" ht="15" customHeight="1" x14ac:dyDescent="0.3">
      <c r="A184" s="44" t="s">
        <v>201</v>
      </c>
      <c r="B184" s="44" t="s">
        <v>117</v>
      </c>
      <c r="C184" s="45">
        <v>86.1</v>
      </c>
      <c r="D184" s="45">
        <f>AVERAGEIF(graduates!$B$2:$B$301,$B184,graduates!$C$2:$C$301)</f>
        <v>72.118181818181824</v>
      </c>
      <c r="E184" s="45">
        <f>SQRT(SUMPRODUCT((graduates!$B$2:$B$301=$B184)*(graduates!$C$2:$C$301-D184)^2)/(COUNTIF(graduates!$B$2:$B$301,$B184)-1))</f>
        <v>8.6421520501849649</v>
      </c>
      <c r="F184" s="45">
        <f t="shared" si="4"/>
        <v>1.6178630161360008</v>
      </c>
      <c r="G184" s="44">
        <f t="shared" si="5"/>
        <v>1.6178630161360008</v>
      </c>
      <c r="H184" s="44"/>
      <c r="I184" s="44"/>
      <c r="J184" s="44"/>
    </row>
    <row r="185" spans="1:10" ht="15" customHeight="1" x14ac:dyDescent="0.3">
      <c r="A185" s="44" t="s">
        <v>202</v>
      </c>
      <c r="B185" s="44" t="s">
        <v>117</v>
      </c>
      <c r="C185" s="45">
        <v>80</v>
      </c>
      <c r="D185" s="45">
        <f>AVERAGEIF(graduates!$B$2:$B$301,$B185,graduates!$C$2:$C$301)</f>
        <v>72.118181818181824</v>
      </c>
      <c r="E185" s="45">
        <f>SQRT(SUMPRODUCT((graduates!$B$2:$B$301=$B185)*(graduates!$C$2:$C$301-D185)^2)/(COUNTIF(graduates!$B$2:$B$301,$B185)-1))</f>
        <v>8.6421520501849649</v>
      </c>
      <c r="F185" s="45">
        <f t="shared" si="4"/>
        <v>0.91202030883609408</v>
      </c>
      <c r="G185" s="44">
        <f t="shared" si="5"/>
        <v>0.91202030883609408</v>
      </c>
      <c r="H185" s="44"/>
      <c r="I185" s="44"/>
      <c r="J185" s="44"/>
    </row>
    <row r="186" spans="1:10" ht="15" customHeight="1" x14ac:dyDescent="0.3">
      <c r="A186" s="44" t="s">
        <v>203</v>
      </c>
      <c r="B186" s="44" t="s">
        <v>117</v>
      </c>
      <c r="C186" s="45">
        <v>94.3</v>
      </c>
      <c r="D186" s="45">
        <f>AVERAGEIF(graduates!$B$2:$B$301,$B186,graduates!$C$2:$C$301)</f>
        <v>72.118181818181824</v>
      </c>
      <c r="E186" s="45">
        <f>SQRT(SUMPRODUCT((graduates!$B$2:$B$301=$B186)*(graduates!$C$2:$C$301-D186)^2)/(COUNTIF(graduates!$B$2:$B$301,$B186)-1))</f>
        <v>8.6421520501849649</v>
      </c>
      <c r="F186" s="45">
        <f t="shared" si="4"/>
        <v>2.5667007538178437</v>
      </c>
      <c r="G186" s="44">
        <f t="shared" si="5"/>
        <v>2.5667007538178437</v>
      </c>
      <c r="H186" s="44"/>
      <c r="I186" s="44"/>
      <c r="J186" s="44"/>
    </row>
    <row r="187" spans="1:10" ht="15" customHeight="1" x14ac:dyDescent="0.3">
      <c r="A187" s="44" t="s">
        <v>204</v>
      </c>
      <c r="B187" s="44" t="s">
        <v>117</v>
      </c>
      <c r="C187" s="45">
        <v>72.599999999999994</v>
      </c>
      <c r="D187" s="45">
        <f>AVERAGEIF(graduates!$B$2:$B$301,$B187,graduates!$C$2:$C$301)</f>
        <v>72.118181818181824</v>
      </c>
      <c r="E187" s="45">
        <f>SQRT(SUMPRODUCT((graduates!$B$2:$B$301=$B187)*(graduates!$C$2:$C$301-D187)^2)/(COUNTIF(graduates!$B$2:$B$301,$B187)-1))</f>
        <v>8.6421520501849649</v>
      </c>
      <c r="F187" s="45">
        <f t="shared" si="4"/>
        <v>5.575210653784525E-2</v>
      </c>
      <c r="G187" s="44">
        <f t="shared" si="5"/>
        <v>5.575210653784525E-2</v>
      </c>
      <c r="H187" s="44"/>
      <c r="I187" s="44"/>
      <c r="J187" s="44"/>
    </row>
    <row r="188" spans="1:10" ht="15" customHeight="1" x14ac:dyDescent="0.3">
      <c r="A188" s="44" t="s">
        <v>205</v>
      </c>
      <c r="B188" s="44" t="s">
        <v>206</v>
      </c>
      <c r="C188" s="45">
        <v>77.400000000000006</v>
      </c>
      <c r="D188" s="45">
        <f>AVERAGEIF(graduates!$B$2:$B$301,$B188,graduates!$C$2:$C$301)</f>
        <v>75.150000000000006</v>
      </c>
      <c r="E188" s="45">
        <f>SQRT(SUMPRODUCT((graduates!$B$2:$B$301=$B188)*(graduates!$C$2:$C$301-D188)^2)/(COUNTIF(graduates!$B$2:$B$301,$B188)-1))</f>
        <v>4.1123066001662014</v>
      </c>
      <c r="F188" s="45">
        <f t="shared" si="4"/>
        <v>0.54713819244631834</v>
      </c>
      <c r="G188" s="44">
        <f t="shared" si="5"/>
        <v>0.54713819244631834</v>
      </c>
      <c r="H188" s="44"/>
      <c r="I188" s="44"/>
      <c r="J188" s="44"/>
    </row>
    <row r="189" spans="1:10" ht="15" customHeight="1" x14ac:dyDescent="0.3">
      <c r="A189" s="44" t="s">
        <v>207</v>
      </c>
      <c r="B189" s="44" t="s">
        <v>206</v>
      </c>
      <c r="C189" s="45">
        <v>80.3</v>
      </c>
      <c r="D189" s="45">
        <f>AVERAGEIF(graduates!$B$2:$B$301,$B189,graduates!$C$2:$C$301)</f>
        <v>75.150000000000006</v>
      </c>
      <c r="E189" s="45">
        <f>SQRT(SUMPRODUCT((graduates!$B$2:$B$301=$B189)*(graduates!$C$2:$C$301-D189)^2)/(COUNTIF(graduates!$B$2:$B$301,$B189)-1))</f>
        <v>4.1123066001662014</v>
      </c>
      <c r="F189" s="45">
        <f t="shared" si="4"/>
        <v>1.2523385293771265</v>
      </c>
      <c r="G189" s="44">
        <f t="shared" si="5"/>
        <v>1.2523385293771265</v>
      </c>
      <c r="H189" s="44"/>
      <c r="I189" s="44"/>
      <c r="J189" s="44"/>
    </row>
    <row r="190" spans="1:10" ht="15" customHeight="1" x14ac:dyDescent="0.3">
      <c r="A190" s="44" t="s">
        <v>208</v>
      </c>
      <c r="B190" s="44" t="s">
        <v>206</v>
      </c>
      <c r="C190" s="45">
        <v>80.099999999999994</v>
      </c>
      <c r="D190" s="45">
        <f>AVERAGEIF(graduates!$B$2:$B$301,$B190,graduates!$C$2:$C$301)</f>
        <v>75.150000000000006</v>
      </c>
      <c r="E190" s="45">
        <f>SQRT(SUMPRODUCT((graduates!$B$2:$B$301=$B190)*(graduates!$C$2:$C$301-D190)^2)/(COUNTIF(graduates!$B$2:$B$301,$B190)-1))</f>
        <v>4.1123066001662014</v>
      </c>
      <c r="F190" s="45">
        <f t="shared" si="4"/>
        <v>1.2037040233818974</v>
      </c>
      <c r="G190" s="44">
        <f t="shared" si="5"/>
        <v>1.2037040233818974</v>
      </c>
      <c r="H190" s="44"/>
      <c r="I190" s="44"/>
      <c r="J190" s="44"/>
    </row>
    <row r="191" spans="1:10" ht="15" customHeight="1" x14ac:dyDescent="0.3">
      <c r="A191" s="44" t="s">
        <v>209</v>
      </c>
      <c r="B191" s="44" t="s">
        <v>206</v>
      </c>
      <c r="C191" s="45">
        <v>64.099999999999994</v>
      </c>
      <c r="D191" s="45">
        <f>AVERAGEIF(graduates!$B$2:$B$301,$B191,graduates!$C$2:$C$301)</f>
        <v>75.150000000000006</v>
      </c>
      <c r="E191" s="45">
        <f>SQRT(SUMPRODUCT((graduates!$B$2:$B$301=$B191)*(graduates!$C$2:$C$301-D191)^2)/(COUNTIF(graduates!$B$2:$B$301,$B191)-1))</f>
        <v>4.1123066001662014</v>
      </c>
      <c r="F191" s="45">
        <f t="shared" si="4"/>
        <v>-2.6870564562363661</v>
      </c>
      <c r="G191" s="44">
        <f t="shared" si="5"/>
        <v>-2.6870564562363661</v>
      </c>
      <c r="H191" s="44"/>
      <c r="I191" s="44"/>
      <c r="J191" s="44"/>
    </row>
    <row r="192" spans="1:10" ht="15" customHeight="1" x14ac:dyDescent="0.3">
      <c r="A192" s="44" t="s">
        <v>210</v>
      </c>
      <c r="B192" s="44" t="s">
        <v>206</v>
      </c>
      <c r="C192" s="45">
        <v>73.8</v>
      </c>
      <c r="D192" s="45">
        <f>AVERAGEIF(graduates!$B$2:$B$301,$B192,graduates!$C$2:$C$301)</f>
        <v>75.150000000000006</v>
      </c>
      <c r="E192" s="45">
        <f>SQRT(SUMPRODUCT((graduates!$B$2:$B$301=$B192)*(graduates!$C$2:$C$301-D192)^2)/(COUNTIF(graduates!$B$2:$B$301,$B192)-1))</f>
        <v>4.1123066001662014</v>
      </c>
      <c r="F192" s="45">
        <f t="shared" si="4"/>
        <v>-0.32828291546779304</v>
      </c>
      <c r="G192" s="44">
        <f t="shared" si="5"/>
        <v>-0.32828291546779304</v>
      </c>
      <c r="H192" s="44"/>
      <c r="I192" s="44"/>
      <c r="J192" s="44"/>
    </row>
    <row r="193" spans="1:10" ht="15" customHeight="1" x14ac:dyDescent="0.3">
      <c r="A193" s="44" t="s">
        <v>211</v>
      </c>
      <c r="B193" s="44" t="s">
        <v>206</v>
      </c>
      <c r="C193" s="45">
        <v>74.8</v>
      </c>
      <c r="D193" s="45">
        <f>AVERAGEIF(graduates!$B$2:$B$301,$B193,graduates!$C$2:$C$301)</f>
        <v>75.150000000000006</v>
      </c>
      <c r="E193" s="45">
        <f>SQRT(SUMPRODUCT((graduates!$B$2:$B$301=$B193)*(graduates!$C$2:$C$301-D193)^2)/(COUNTIF(graduates!$B$2:$B$301,$B193)-1))</f>
        <v>4.1123066001662014</v>
      </c>
      <c r="F193" s="45">
        <f t="shared" si="4"/>
        <v>-8.5110385491651591E-2</v>
      </c>
      <c r="G193" s="44">
        <f t="shared" si="5"/>
        <v>-8.5110385491651591E-2</v>
      </c>
      <c r="H193" s="44"/>
      <c r="I193" s="44"/>
      <c r="J193" s="44"/>
    </row>
    <row r="194" spans="1:10" ht="15" customHeight="1" x14ac:dyDescent="0.3">
      <c r="A194" s="44" t="s">
        <v>212</v>
      </c>
      <c r="B194" s="44" t="s">
        <v>206</v>
      </c>
      <c r="C194" s="45">
        <v>77.599999999999994</v>
      </c>
      <c r="D194" s="45">
        <f>AVERAGEIF(graduates!$B$2:$B$301,$B194,graduates!$C$2:$C$301)</f>
        <v>75.150000000000006</v>
      </c>
      <c r="E194" s="45">
        <f>SQRT(SUMPRODUCT((graduates!$B$2:$B$301=$B194)*(graduates!$C$2:$C$301-D194)^2)/(COUNTIF(graduates!$B$2:$B$301,$B194)-1))</f>
        <v>4.1123066001662014</v>
      </c>
      <c r="F194" s="45">
        <f t="shared" si="4"/>
        <v>0.59577269844154379</v>
      </c>
      <c r="G194" s="44">
        <f t="shared" si="5"/>
        <v>0.59577269844154379</v>
      </c>
      <c r="H194" s="44"/>
      <c r="I194" s="44"/>
      <c r="J194" s="44"/>
    </row>
    <row r="195" spans="1:10" ht="15" customHeight="1" x14ac:dyDescent="0.3">
      <c r="A195" s="44" t="s">
        <v>213</v>
      </c>
      <c r="B195" s="44" t="s">
        <v>206</v>
      </c>
      <c r="C195" s="45">
        <v>78.2</v>
      </c>
      <c r="D195" s="45">
        <f>AVERAGEIF(graduates!$B$2:$B$301,$B195,graduates!$C$2:$C$301)</f>
        <v>75.150000000000006</v>
      </c>
      <c r="E195" s="45">
        <f>SQRT(SUMPRODUCT((graduates!$B$2:$B$301=$B195)*(graduates!$C$2:$C$301-D195)^2)/(COUNTIF(graduates!$B$2:$B$301,$B195)-1))</f>
        <v>4.1123066001662014</v>
      </c>
      <c r="F195" s="45">
        <f t="shared" si="4"/>
        <v>0.74167621642723081</v>
      </c>
      <c r="G195" s="44">
        <f t="shared" si="5"/>
        <v>0.74167621642723081</v>
      </c>
      <c r="H195" s="44"/>
      <c r="I195" s="44"/>
      <c r="J195" s="44"/>
    </row>
    <row r="196" spans="1:10" ht="15" customHeight="1" x14ac:dyDescent="0.3">
      <c r="A196" s="44" t="s">
        <v>214</v>
      </c>
      <c r="B196" s="44" t="s">
        <v>206</v>
      </c>
      <c r="C196" s="45">
        <v>71.2</v>
      </c>
      <c r="D196" s="45">
        <f>AVERAGEIF(graduates!$B$2:$B$301,$B196,graduates!$C$2:$C$301)</f>
        <v>75.150000000000006</v>
      </c>
      <c r="E196" s="45">
        <f>SQRT(SUMPRODUCT((graduates!$B$2:$B$301=$B196)*(graduates!$C$2:$C$301-D196)^2)/(COUNTIF(graduates!$B$2:$B$301,$B196)-1))</f>
        <v>4.1123066001662014</v>
      </c>
      <c r="F196" s="45">
        <f t="shared" si="4"/>
        <v>-0.9605314934057595</v>
      </c>
      <c r="G196" s="44">
        <f t="shared" si="5"/>
        <v>-0.9605314934057595</v>
      </c>
      <c r="H196" s="44"/>
      <c r="I196" s="44"/>
      <c r="J196" s="44"/>
    </row>
    <row r="197" spans="1:10" ht="15" customHeight="1" x14ac:dyDescent="0.3">
      <c r="A197" s="44" t="s">
        <v>215</v>
      </c>
      <c r="B197" s="44" t="s">
        <v>206</v>
      </c>
      <c r="C197" s="45">
        <v>71.5</v>
      </c>
      <c r="D197" s="45">
        <f>AVERAGEIF(graduates!$B$2:$B$301,$B197,graduates!$C$2:$C$301)</f>
        <v>75.150000000000006</v>
      </c>
      <c r="E197" s="45">
        <f>SQRT(SUMPRODUCT((graduates!$B$2:$B$301=$B197)*(graduates!$C$2:$C$301-D197)^2)/(COUNTIF(graduates!$B$2:$B$301,$B197)-1))</f>
        <v>4.1123066001662014</v>
      </c>
      <c r="F197" s="45">
        <f t="shared" ref="F197:F260" si="6">(C197-D197)/E197</f>
        <v>-0.88757973441291771</v>
      </c>
      <c r="G197" s="44">
        <f t="shared" ref="G197:G260" si="7">(C197-D197)/E197</f>
        <v>-0.88757973441291771</v>
      </c>
      <c r="H197" s="44"/>
      <c r="I197" s="44"/>
      <c r="J197" s="44"/>
    </row>
    <row r="198" spans="1:10" ht="15" customHeight="1" x14ac:dyDescent="0.3">
      <c r="A198" s="44" t="s">
        <v>216</v>
      </c>
      <c r="B198" s="44" t="s">
        <v>206</v>
      </c>
      <c r="C198" s="45">
        <v>75.400000000000006</v>
      </c>
      <c r="D198" s="45">
        <f>AVERAGEIF(graduates!$B$2:$B$301,$B198,graduates!$C$2:$C$301)</f>
        <v>75.150000000000006</v>
      </c>
      <c r="E198" s="45">
        <f>SQRT(SUMPRODUCT((graduates!$B$2:$B$301=$B198)*(graduates!$C$2:$C$301-D198)^2)/(COUNTIF(graduates!$B$2:$B$301,$B198)-1))</f>
        <v>4.1123066001662014</v>
      </c>
      <c r="F198" s="45">
        <f t="shared" si="6"/>
        <v>6.0793132494035368E-2</v>
      </c>
      <c r="G198" s="44">
        <f t="shared" si="7"/>
        <v>6.0793132494035368E-2</v>
      </c>
      <c r="H198" s="44"/>
      <c r="I198" s="44"/>
      <c r="J198" s="44"/>
    </row>
    <row r="199" spans="1:10" ht="15" customHeight="1" x14ac:dyDescent="0.3">
      <c r="A199" s="44" t="s">
        <v>217</v>
      </c>
      <c r="B199" s="44" t="s">
        <v>206</v>
      </c>
      <c r="C199" s="45">
        <v>66.8</v>
      </c>
      <c r="D199" s="45">
        <f>AVERAGEIF(graduates!$B$2:$B$301,$B199,graduates!$C$2:$C$301)</f>
        <v>75.150000000000006</v>
      </c>
      <c r="E199" s="45">
        <f>SQRT(SUMPRODUCT((graduates!$B$2:$B$301=$B199)*(graduates!$C$2:$C$301-D199)^2)/(COUNTIF(graduates!$B$2:$B$301,$B199)-1))</f>
        <v>4.1123066001662014</v>
      </c>
      <c r="F199" s="45">
        <f t="shared" si="6"/>
        <v>-2.0304906253007835</v>
      </c>
      <c r="G199" s="44">
        <f t="shared" si="7"/>
        <v>-2.0304906253007835</v>
      </c>
      <c r="H199" s="44"/>
      <c r="I199" s="44"/>
      <c r="J199" s="44"/>
    </row>
    <row r="200" spans="1:10" ht="15" customHeight="1" x14ac:dyDescent="0.3">
      <c r="A200" s="44" t="s">
        <v>218</v>
      </c>
      <c r="B200" s="44" t="s">
        <v>206</v>
      </c>
      <c r="C200" s="45">
        <v>80.3</v>
      </c>
      <c r="D200" s="45">
        <f>AVERAGEIF(graduates!$B$2:$B$301,$B200,graduates!$C$2:$C$301)</f>
        <v>75.150000000000006</v>
      </c>
      <c r="E200" s="45">
        <f>SQRT(SUMPRODUCT((graduates!$B$2:$B$301=$B200)*(graduates!$C$2:$C$301-D200)^2)/(COUNTIF(graduates!$B$2:$B$301,$B200)-1))</f>
        <v>4.1123066001662014</v>
      </c>
      <c r="F200" s="45">
        <f t="shared" si="6"/>
        <v>1.2523385293771265</v>
      </c>
      <c r="G200" s="44">
        <f t="shared" si="7"/>
        <v>1.2523385293771265</v>
      </c>
      <c r="H200" s="44"/>
      <c r="I200" s="44"/>
      <c r="J200" s="44"/>
    </row>
    <row r="201" spans="1:10" ht="15" customHeight="1" x14ac:dyDescent="0.3">
      <c r="A201" s="44" t="s">
        <v>219</v>
      </c>
      <c r="B201" s="44" t="s">
        <v>206</v>
      </c>
      <c r="C201" s="45">
        <v>74.8</v>
      </c>
      <c r="D201" s="45">
        <f>AVERAGEIF(graduates!$B$2:$B$301,$B201,graduates!$C$2:$C$301)</f>
        <v>75.150000000000006</v>
      </c>
      <c r="E201" s="45">
        <f>SQRT(SUMPRODUCT((graduates!$B$2:$B$301=$B201)*(graduates!$C$2:$C$301-D201)^2)/(COUNTIF(graduates!$B$2:$B$301,$B201)-1))</f>
        <v>4.1123066001662014</v>
      </c>
      <c r="F201" s="45">
        <f t="shared" si="6"/>
        <v>-8.5110385491651591E-2</v>
      </c>
      <c r="G201" s="44">
        <f t="shared" si="7"/>
        <v>-8.5110385491651591E-2</v>
      </c>
      <c r="H201" s="44"/>
      <c r="I201" s="44"/>
      <c r="J201" s="44"/>
    </row>
    <row r="202" spans="1:10" ht="15" customHeight="1" x14ac:dyDescent="0.3">
      <c r="A202" s="44" t="s">
        <v>220</v>
      </c>
      <c r="B202" s="44" t="s">
        <v>206</v>
      </c>
      <c r="C202" s="45">
        <v>77.2</v>
      </c>
      <c r="D202" s="45">
        <f>AVERAGEIF(graduates!$B$2:$B$301,$B202,graduates!$C$2:$C$301)</f>
        <v>75.150000000000006</v>
      </c>
      <c r="E202" s="45">
        <f>SQRT(SUMPRODUCT((graduates!$B$2:$B$301=$B202)*(graduates!$C$2:$C$301-D202)^2)/(COUNTIF(graduates!$B$2:$B$301,$B202)-1))</f>
        <v>4.1123066001662014</v>
      </c>
      <c r="F202" s="45">
        <f t="shared" si="6"/>
        <v>0.49850368645108933</v>
      </c>
      <c r="G202" s="44">
        <f t="shared" si="7"/>
        <v>0.49850368645108933</v>
      </c>
      <c r="H202" s="44"/>
      <c r="I202" s="44"/>
      <c r="J202" s="44"/>
    </row>
    <row r="203" spans="1:10" ht="15" customHeight="1" x14ac:dyDescent="0.3">
      <c r="A203" s="44" t="s">
        <v>221</v>
      </c>
      <c r="B203" s="44" t="s">
        <v>206</v>
      </c>
      <c r="C203" s="45">
        <v>79.7</v>
      </c>
      <c r="D203" s="45">
        <f>AVERAGEIF(graduates!$B$2:$B$301,$B203,graduates!$C$2:$C$301)</f>
        <v>75.150000000000006</v>
      </c>
      <c r="E203" s="45">
        <f>SQRT(SUMPRODUCT((graduates!$B$2:$B$301=$B203)*(graduates!$C$2:$C$301-D203)^2)/(COUNTIF(graduates!$B$2:$B$301,$B203)-1))</f>
        <v>4.1123066001662014</v>
      </c>
      <c r="F203" s="45">
        <f t="shared" si="6"/>
        <v>1.106435011391443</v>
      </c>
      <c r="G203" s="44">
        <f t="shared" si="7"/>
        <v>1.106435011391443</v>
      </c>
      <c r="H203" s="44"/>
      <c r="I203" s="44"/>
      <c r="J203" s="44"/>
    </row>
    <row r="204" spans="1:10" ht="15" customHeight="1" x14ac:dyDescent="0.3">
      <c r="A204" s="44" t="s">
        <v>222</v>
      </c>
      <c r="B204" s="44" t="s">
        <v>206</v>
      </c>
      <c r="C204" s="45">
        <v>75.599999999999994</v>
      </c>
      <c r="D204" s="45">
        <f>AVERAGEIF(graduates!$B$2:$B$301,$B204,graduates!$C$2:$C$301)</f>
        <v>75.150000000000006</v>
      </c>
      <c r="E204" s="45">
        <f>SQRT(SUMPRODUCT((graduates!$B$2:$B$301=$B204)*(graduates!$C$2:$C$301-D204)^2)/(COUNTIF(graduates!$B$2:$B$301,$B204)-1))</f>
        <v>4.1123066001662014</v>
      </c>
      <c r="F204" s="45">
        <f t="shared" si="6"/>
        <v>0.10942763848926089</v>
      </c>
      <c r="G204" s="44">
        <f t="shared" si="7"/>
        <v>0.10942763848926089</v>
      </c>
      <c r="H204" s="44"/>
      <c r="I204" s="44"/>
      <c r="J204" s="44"/>
    </row>
    <row r="205" spans="1:10" ht="15" customHeight="1" x14ac:dyDescent="0.3">
      <c r="A205" s="44" t="s">
        <v>223</v>
      </c>
      <c r="B205" s="44" t="s">
        <v>206</v>
      </c>
      <c r="C205" s="45">
        <v>82.7</v>
      </c>
      <c r="D205" s="45">
        <f>AVERAGEIF(graduates!$B$2:$B$301,$B205,graduates!$C$2:$C$301)</f>
        <v>75.150000000000006</v>
      </c>
      <c r="E205" s="45">
        <f>SQRT(SUMPRODUCT((graduates!$B$2:$B$301=$B205)*(graduates!$C$2:$C$301-D205)^2)/(COUNTIF(graduates!$B$2:$B$301,$B205)-1))</f>
        <v>4.1123066001662014</v>
      </c>
      <c r="F205" s="45">
        <f t="shared" si="6"/>
        <v>1.8359526013198673</v>
      </c>
      <c r="G205" s="44">
        <f t="shared" si="7"/>
        <v>1.8359526013198673</v>
      </c>
      <c r="H205" s="44"/>
      <c r="I205" s="44"/>
      <c r="J205" s="44"/>
    </row>
    <row r="206" spans="1:10" ht="15" customHeight="1" x14ac:dyDescent="0.3">
      <c r="A206" s="44" t="s">
        <v>224</v>
      </c>
      <c r="B206" s="44" t="s">
        <v>206</v>
      </c>
      <c r="C206" s="45">
        <v>77.7</v>
      </c>
      <c r="D206" s="45">
        <f>AVERAGEIF(graduates!$B$2:$B$301,$B206,graduates!$C$2:$C$301)</f>
        <v>75.150000000000006</v>
      </c>
      <c r="E206" s="45">
        <f>SQRT(SUMPRODUCT((graduates!$B$2:$B$301=$B206)*(graduates!$C$2:$C$301-D206)^2)/(COUNTIF(graduates!$B$2:$B$301,$B206)-1))</f>
        <v>4.1123066001662014</v>
      </c>
      <c r="F206" s="45">
        <f t="shared" si="6"/>
        <v>0.62008995143916001</v>
      </c>
      <c r="G206" s="44">
        <f t="shared" si="7"/>
        <v>0.62008995143916001</v>
      </c>
      <c r="H206" s="44"/>
      <c r="I206" s="44"/>
      <c r="J206" s="44"/>
    </row>
    <row r="207" spans="1:10" ht="15" customHeight="1" x14ac:dyDescent="0.3">
      <c r="A207" s="44" t="s">
        <v>225</v>
      </c>
      <c r="B207" s="44" t="s">
        <v>206</v>
      </c>
      <c r="C207" s="45">
        <v>74.900000000000006</v>
      </c>
      <c r="D207" s="45">
        <f>AVERAGEIF(graduates!$B$2:$B$301,$B207,graduates!$C$2:$C$301)</f>
        <v>75.150000000000006</v>
      </c>
      <c r="E207" s="45">
        <f>SQRT(SUMPRODUCT((graduates!$B$2:$B$301=$B207)*(graduates!$C$2:$C$301-D207)^2)/(COUNTIF(graduates!$B$2:$B$301,$B207)-1))</f>
        <v>4.1123066001662014</v>
      </c>
      <c r="F207" s="45">
        <f t="shared" si="6"/>
        <v>-6.0793132494035368E-2</v>
      </c>
      <c r="G207" s="44">
        <f t="shared" si="7"/>
        <v>-6.0793132494035368E-2</v>
      </c>
      <c r="H207" s="44"/>
      <c r="I207" s="44"/>
      <c r="J207" s="44"/>
    </row>
    <row r="208" spans="1:10" ht="15" customHeight="1" x14ac:dyDescent="0.3">
      <c r="A208" s="44" t="s">
        <v>226</v>
      </c>
      <c r="B208" s="44" t="s">
        <v>206</v>
      </c>
      <c r="C208" s="45">
        <v>79.7</v>
      </c>
      <c r="D208" s="45">
        <f>AVERAGEIF(graduates!$B$2:$B$301,$B208,graduates!$C$2:$C$301)</f>
        <v>75.150000000000006</v>
      </c>
      <c r="E208" s="45">
        <f>SQRT(SUMPRODUCT((graduates!$B$2:$B$301=$B208)*(graduates!$C$2:$C$301-D208)^2)/(COUNTIF(graduates!$B$2:$B$301,$B208)-1))</f>
        <v>4.1123066001662014</v>
      </c>
      <c r="F208" s="45">
        <f t="shared" si="6"/>
        <v>1.106435011391443</v>
      </c>
      <c r="G208" s="44">
        <f t="shared" si="7"/>
        <v>1.106435011391443</v>
      </c>
      <c r="H208" s="44"/>
      <c r="I208" s="44"/>
      <c r="J208" s="44"/>
    </row>
    <row r="209" spans="1:10" ht="15" customHeight="1" x14ac:dyDescent="0.3">
      <c r="A209" s="44" t="s">
        <v>227</v>
      </c>
      <c r="B209" s="44" t="s">
        <v>206</v>
      </c>
      <c r="C209" s="45">
        <v>70.3</v>
      </c>
      <c r="D209" s="45">
        <f>AVERAGEIF(graduates!$B$2:$B$301,$B209,graduates!$C$2:$C$301)</f>
        <v>75.150000000000006</v>
      </c>
      <c r="E209" s="45">
        <f>SQRT(SUMPRODUCT((graduates!$B$2:$B$301=$B209)*(graduates!$C$2:$C$301-D209)^2)/(COUNTIF(graduates!$B$2:$B$301,$B209)-1))</f>
        <v>4.1123066001662014</v>
      </c>
      <c r="F209" s="45">
        <f t="shared" si="6"/>
        <v>-1.1793867703842882</v>
      </c>
      <c r="G209" s="44">
        <f t="shared" si="7"/>
        <v>-1.1793867703842882</v>
      </c>
      <c r="H209" s="44"/>
      <c r="I209" s="44"/>
      <c r="J209" s="44"/>
    </row>
    <row r="210" spans="1:10" ht="15" customHeight="1" x14ac:dyDescent="0.3">
      <c r="A210" s="44" t="s">
        <v>228</v>
      </c>
      <c r="B210" s="44" t="s">
        <v>206</v>
      </c>
      <c r="C210" s="45">
        <v>69.3</v>
      </c>
      <c r="D210" s="45">
        <f>AVERAGEIF(graduates!$B$2:$B$301,$B210,graduates!$C$2:$C$301)</f>
        <v>75.150000000000006</v>
      </c>
      <c r="E210" s="45">
        <f>SQRT(SUMPRODUCT((graduates!$B$2:$B$301=$B210)*(graduates!$C$2:$C$301-D210)^2)/(COUNTIF(graduates!$B$2:$B$301,$B210)-1))</f>
        <v>4.1123066001662014</v>
      </c>
      <c r="F210" s="45">
        <f t="shared" si="6"/>
        <v>-1.4225593003604295</v>
      </c>
      <c r="G210" s="44">
        <f t="shared" si="7"/>
        <v>-1.4225593003604295</v>
      </c>
      <c r="H210" s="44"/>
      <c r="I210" s="44"/>
      <c r="J210" s="44"/>
    </row>
    <row r="211" spans="1:10" ht="15" customHeight="1" x14ac:dyDescent="0.3">
      <c r="A211" s="44" t="s">
        <v>229</v>
      </c>
      <c r="B211" s="44" t="s">
        <v>206</v>
      </c>
      <c r="C211" s="45">
        <v>71.599999999999994</v>
      </c>
      <c r="D211" s="45">
        <f>AVERAGEIF(graduates!$B$2:$B$301,$B211,graduates!$C$2:$C$301)</f>
        <v>75.150000000000006</v>
      </c>
      <c r="E211" s="45">
        <f>SQRT(SUMPRODUCT((graduates!$B$2:$B$301=$B211)*(graduates!$C$2:$C$301-D211)^2)/(COUNTIF(graduates!$B$2:$B$301,$B211)-1))</f>
        <v>4.1123066001662014</v>
      </c>
      <c r="F211" s="45">
        <f t="shared" si="6"/>
        <v>-0.86326248141530493</v>
      </c>
      <c r="G211" s="44">
        <f t="shared" si="7"/>
        <v>-0.86326248141530493</v>
      </c>
      <c r="H211" s="44"/>
      <c r="I211" s="44"/>
      <c r="J211" s="44"/>
    </row>
    <row r="212" spans="1:10" ht="15" customHeight="1" x14ac:dyDescent="0.3">
      <c r="A212" s="44" t="s">
        <v>230</v>
      </c>
      <c r="B212" s="44" t="s">
        <v>206</v>
      </c>
      <c r="C212" s="45">
        <v>77.8</v>
      </c>
      <c r="D212" s="45">
        <f>AVERAGEIF(graduates!$B$2:$B$301,$B212,graduates!$C$2:$C$301)</f>
        <v>75.150000000000006</v>
      </c>
      <c r="E212" s="45">
        <f>SQRT(SUMPRODUCT((graduates!$B$2:$B$301=$B212)*(graduates!$C$2:$C$301-D212)^2)/(COUNTIF(graduates!$B$2:$B$301,$B212)-1))</f>
        <v>4.1123066001662014</v>
      </c>
      <c r="F212" s="45">
        <f t="shared" si="6"/>
        <v>0.6444072044367728</v>
      </c>
      <c r="G212" s="44">
        <f t="shared" si="7"/>
        <v>0.6444072044367728</v>
      </c>
      <c r="H212" s="44"/>
      <c r="I212" s="44"/>
      <c r="J212" s="44"/>
    </row>
    <row r="213" spans="1:10" ht="15" customHeight="1" x14ac:dyDescent="0.3">
      <c r="A213" s="44" t="s">
        <v>231</v>
      </c>
      <c r="B213" s="44" t="s">
        <v>206</v>
      </c>
      <c r="C213" s="45">
        <v>70.8</v>
      </c>
      <c r="D213" s="45">
        <f>AVERAGEIF(graduates!$B$2:$B$301,$B213,graduates!$C$2:$C$301)</f>
        <v>75.150000000000006</v>
      </c>
      <c r="E213" s="45">
        <f>SQRT(SUMPRODUCT((graduates!$B$2:$B$301=$B213)*(graduates!$C$2:$C$301-D213)^2)/(COUNTIF(graduates!$B$2:$B$301,$B213)-1))</f>
        <v>4.1123066001662014</v>
      </c>
      <c r="F213" s="45">
        <f t="shared" si="6"/>
        <v>-1.0578005053962174</v>
      </c>
      <c r="G213" s="44">
        <f t="shared" si="7"/>
        <v>-1.0578005053962174</v>
      </c>
      <c r="H213" s="44"/>
      <c r="I213" s="44"/>
      <c r="J213" s="44"/>
    </row>
    <row r="214" spans="1:10" ht="15" customHeight="1" x14ac:dyDescent="0.3">
      <c r="A214" s="44" t="s">
        <v>232</v>
      </c>
      <c r="B214" s="44" t="s">
        <v>206</v>
      </c>
      <c r="C214" s="45">
        <v>74.400000000000006</v>
      </c>
      <c r="D214" s="45">
        <f>AVERAGEIF(graduates!$B$2:$B$301,$B214,graduates!$C$2:$C$301)</f>
        <v>75.150000000000006</v>
      </c>
      <c r="E214" s="45">
        <f>SQRT(SUMPRODUCT((graduates!$B$2:$B$301=$B214)*(graduates!$C$2:$C$301-D214)^2)/(COUNTIF(graduates!$B$2:$B$301,$B214)-1))</f>
        <v>4.1123066001662014</v>
      </c>
      <c r="F214" s="45">
        <f t="shared" si="6"/>
        <v>-0.1823793974821061</v>
      </c>
      <c r="G214" s="44">
        <f t="shared" si="7"/>
        <v>-0.1823793974821061</v>
      </c>
      <c r="H214" s="44"/>
      <c r="I214" s="44"/>
      <c r="J214" s="44"/>
    </row>
    <row r="215" spans="1:10" ht="15" customHeight="1" x14ac:dyDescent="0.3">
      <c r="A215" s="44" t="s">
        <v>233</v>
      </c>
      <c r="B215" s="44" t="s">
        <v>206</v>
      </c>
      <c r="C215" s="45">
        <v>75.400000000000006</v>
      </c>
      <c r="D215" s="45">
        <f>AVERAGEIF(graduates!$B$2:$B$301,$B215,graduates!$C$2:$C$301)</f>
        <v>75.150000000000006</v>
      </c>
      <c r="E215" s="45">
        <f>SQRT(SUMPRODUCT((graduates!$B$2:$B$301=$B215)*(graduates!$C$2:$C$301-D215)^2)/(COUNTIF(graduates!$B$2:$B$301,$B215)-1))</f>
        <v>4.1123066001662014</v>
      </c>
      <c r="F215" s="45">
        <f t="shared" si="6"/>
        <v>6.0793132494035368E-2</v>
      </c>
      <c r="G215" s="44">
        <f t="shared" si="7"/>
        <v>6.0793132494035368E-2</v>
      </c>
      <c r="H215" s="44"/>
      <c r="I215" s="44"/>
      <c r="J215" s="44"/>
    </row>
    <row r="216" spans="1:10" ht="15" customHeight="1" x14ac:dyDescent="0.3">
      <c r="A216" s="44" t="s">
        <v>234</v>
      </c>
      <c r="B216" s="44" t="s">
        <v>206</v>
      </c>
      <c r="C216" s="45">
        <v>76.599999999999994</v>
      </c>
      <c r="D216" s="45">
        <f>AVERAGEIF(graduates!$B$2:$B$301,$B216,graduates!$C$2:$C$301)</f>
        <v>75.150000000000006</v>
      </c>
      <c r="E216" s="45">
        <f>SQRT(SUMPRODUCT((graduates!$B$2:$B$301=$B216)*(graduates!$C$2:$C$301-D216)^2)/(COUNTIF(graduates!$B$2:$B$301,$B216)-1))</f>
        <v>4.1123066001662014</v>
      </c>
      <c r="F216" s="45">
        <f t="shared" si="6"/>
        <v>0.35260016846540237</v>
      </c>
      <c r="G216" s="44">
        <f t="shared" si="7"/>
        <v>0.35260016846540237</v>
      </c>
      <c r="H216" s="44"/>
      <c r="I216" s="44"/>
      <c r="J216" s="44"/>
    </row>
    <row r="217" spans="1:10" ht="15" customHeight="1" x14ac:dyDescent="0.3">
      <c r="A217" s="44" t="s">
        <v>235</v>
      </c>
      <c r="B217" s="44" t="s">
        <v>206</v>
      </c>
      <c r="C217" s="45">
        <v>75.099999999999994</v>
      </c>
      <c r="D217" s="45">
        <f>AVERAGEIF(graduates!$B$2:$B$301,$B217,graduates!$C$2:$C$301)</f>
        <v>75.150000000000006</v>
      </c>
      <c r="E217" s="45">
        <f>SQRT(SUMPRODUCT((graduates!$B$2:$B$301=$B217)*(graduates!$C$2:$C$301-D217)^2)/(COUNTIF(graduates!$B$2:$B$301,$B217)-1))</f>
        <v>4.1123066001662014</v>
      </c>
      <c r="F217" s="45">
        <f t="shared" si="6"/>
        <v>-1.2158626498809838E-2</v>
      </c>
      <c r="G217" s="44">
        <f t="shared" si="7"/>
        <v>-1.2158626498809838E-2</v>
      </c>
      <c r="H217" s="44"/>
      <c r="I217" s="44"/>
      <c r="J217" s="44"/>
    </row>
    <row r="218" spans="1:10" ht="15" customHeight="1" x14ac:dyDescent="0.3">
      <c r="A218" s="44" t="s">
        <v>236</v>
      </c>
      <c r="B218" s="44" t="s">
        <v>206</v>
      </c>
      <c r="C218" s="45">
        <v>68.8</v>
      </c>
      <c r="D218" s="45">
        <f>AVERAGEIF(graduates!$B$2:$B$301,$B218,graduates!$C$2:$C$301)</f>
        <v>75.150000000000006</v>
      </c>
      <c r="E218" s="45">
        <f>SQRT(SUMPRODUCT((graduates!$B$2:$B$301=$B218)*(graduates!$C$2:$C$301-D218)^2)/(COUNTIF(graduates!$B$2:$B$301,$B218)-1))</f>
        <v>4.1123066001662014</v>
      </c>
      <c r="F218" s="45">
        <f t="shared" si="6"/>
        <v>-1.5441455653485003</v>
      </c>
      <c r="G218" s="44">
        <f t="shared" si="7"/>
        <v>-1.5441455653485003</v>
      </c>
      <c r="H218" s="44"/>
      <c r="I218" s="44"/>
      <c r="J218" s="44"/>
    </row>
    <row r="219" spans="1:10" ht="15" customHeight="1" x14ac:dyDescent="0.3">
      <c r="A219" s="44" t="s">
        <v>237</v>
      </c>
      <c r="B219" s="44" t="s">
        <v>206</v>
      </c>
      <c r="C219" s="45">
        <v>77.5</v>
      </c>
      <c r="D219" s="45">
        <f>AVERAGEIF(graduates!$B$2:$B$301,$B219,graduates!$C$2:$C$301)</f>
        <v>75.150000000000006</v>
      </c>
      <c r="E219" s="45">
        <f>SQRT(SUMPRODUCT((graduates!$B$2:$B$301=$B219)*(graduates!$C$2:$C$301-D219)^2)/(COUNTIF(graduates!$B$2:$B$301,$B219)-1))</f>
        <v>4.1123066001662014</v>
      </c>
      <c r="F219" s="45">
        <f t="shared" si="6"/>
        <v>0.57145544544393101</v>
      </c>
      <c r="G219" s="44">
        <f t="shared" si="7"/>
        <v>0.57145544544393101</v>
      </c>
      <c r="H219" s="44"/>
      <c r="I219" s="44"/>
      <c r="J219" s="44"/>
    </row>
    <row r="220" spans="1:10" ht="15" customHeight="1" x14ac:dyDescent="0.3">
      <c r="A220" s="44" t="s">
        <v>238</v>
      </c>
      <c r="B220" s="44" t="s">
        <v>206</v>
      </c>
      <c r="C220" s="45">
        <v>73</v>
      </c>
      <c r="D220" s="45">
        <f>AVERAGEIF(graduates!$B$2:$B$301,$B220,graduates!$C$2:$C$301)</f>
        <v>75.150000000000006</v>
      </c>
      <c r="E220" s="45">
        <f>SQRT(SUMPRODUCT((graduates!$B$2:$B$301=$B220)*(graduates!$C$2:$C$301-D220)^2)/(COUNTIF(graduates!$B$2:$B$301,$B220)-1))</f>
        <v>4.1123066001662014</v>
      </c>
      <c r="F220" s="45">
        <f t="shared" si="6"/>
        <v>-0.52282093944870556</v>
      </c>
      <c r="G220" s="44">
        <f t="shared" si="7"/>
        <v>-0.52282093944870556</v>
      </c>
      <c r="H220" s="44"/>
      <c r="I220" s="44"/>
      <c r="J220" s="44"/>
    </row>
    <row r="221" spans="1:10" ht="15" customHeight="1" x14ac:dyDescent="0.3">
      <c r="A221" s="44" t="s">
        <v>239</v>
      </c>
      <c r="B221" s="44" t="s">
        <v>206</v>
      </c>
      <c r="C221" s="45">
        <v>80.599999999999994</v>
      </c>
      <c r="D221" s="45">
        <f>AVERAGEIF(graduates!$B$2:$B$301,$B221,graduates!$C$2:$C$301)</f>
        <v>75.150000000000006</v>
      </c>
      <c r="E221" s="45">
        <f>SQRT(SUMPRODUCT((graduates!$B$2:$B$301=$B221)*(graduates!$C$2:$C$301-D221)^2)/(COUNTIF(graduates!$B$2:$B$301,$B221)-1))</f>
        <v>4.1123066001662014</v>
      </c>
      <c r="F221" s="45">
        <f t="shared" si="6"/>
        <v>1.3252902883699682</v>
      </c>
      <c r="G221" s="44">
        <f t="shared" si="7"/>
        <v>1.3252902883699682</v>
      </c>
      <c r="H221" s="44"/>
      <c r="I221" s="44"/>
      <c r="J221" s="44"/>
    </row>
    <row r="222" spans="1:10" ht="15" customHeight="1" x14ac:dyDescent="0.3">
      <c r="A222" s="44" t="s">
        <v>240</v>
      </c>
      <c r="B222" s="44" t="s">
        <v>206</v>
      </c>
      <c r="C222" s="45">
        <v>72.8</v>
      </c>
      <c r="D222" s="45">
        <f>AVERAGEIF(graduates!$B$2:$B$301,$B222,graduates!$C$2:$C$301)</f>
        <v>75.150000000000006</v>
      </c>
      <c r="E222" s="45">
        <f>SQRT(SUMPRODUCT((graduates!$B$2:$B$301=$B222)*(graduates!$C$2:$C$301-D222)^2)/(COUNTIF(graduates!$B$2:$B$301,$B222)-1))</f>
        <v>4.1123066001662014</v>
      </c>
      <c r="F222" s="45">
        <f t="shared" si="6"/>
        <v>-0.57145544544393456</v>
      </c>
      <c r="G222" s="44">
        <f t="shared" si="7"/>
        <v>-0.57145544544393456</v>
      </c>
      <c r="H222" s="44"/>
      <c r="I222" s="44"/>
      <c r="J222" s="44"/>
    </row>
    <row r="223" spans="1:10" ht="15" customHeight="1" x14ac:dyDescent="0.3">
      <c r="A223" s="44" t="s">
        <v>241</v>
      </c>
      <c r="B223" s="44" t="s">
        <v>206</v>
      </c>
      <c r="C223" s="45">
        <v>68.099999999999994</v>
      </c>
      <c r="D223" s="45">
        <f>AVERAGEIF(graduates!$B$2:$B$301,$B223,graduates!$C$2:$C$301)</f>
        <v>75.150000000000006</v>
      </c>
      <c r="E223" s="45">
        <f>SQRT(SUMPRODUCT((graduates!$B$2:$B$301=$B223)*(graduates!$C$2:$C$301-D223)^2)/(COUNTIF(graduates!$B$2:$B$301,$B223)-1))</f>
        <v>4.1123066001662014</v>
      </c>
      <c r="F223" s="45">
        <f t="shared" si="6"/>
        <v>-1.7143663363318</v>
      </c>
      <c r="G223" s="44">
        <f t="shared" si="7"/>
        <v>-1.7143663363318</v>
      </c>
      <c r="H223" s="44"/>
      <c r="I223" s="44"/>
      <c r="J223" s="44"/>
    </row>
    <row r="224" spans="1:10" ht="15" customHeight="1" x14ac:dyDescent="0.3">
      <c r="A224" s="44" t="s">
        <v>242</v>
      </c>
      <c r="B224" s="44" t="s">
        <v>206</v>
      </c>
      <c r="C224" s="45">
        <v>75.599999999999994</v>
      </c>
      <c r="D224" s="45">
        <f>AVERAGEIF(graduates!$B$2:$B$301,$B224,graduates!$C$2:$C$301)</f>
        <v>75.150000000000006</v>
      </c>
      <c r="E224" s="45">
        <f>SQRT(SUMPRODUCT((graduates!$B$2:$B$301=$B224)*(graduates!$C$2:$C$301-D224)^2)/(COUNTIF(graduates!$B$2:$B$301,$B224)-1))</f>
        <v>4.1123066001662014</v>
      </c>
      <c r="F224" s="45">
        <f t="shared" si="6"/>
        <v>0.10942763848926089</v>
      </c>
      <c r="G224" s="44">
        <f t="shared" si="7"/>
        <v>0.10942763848926089</v>
      </c>
      <c r="H224" s="44"/>
      <c r="I224" s="44"/>
      <c r="J224" s="44"/>
    </row>
    <row r="225" spans="1:10" ht="15" customHeight="1" x14ac:dyDescent="0.3">
      <c r="A225" s="44" t="s">
        <v>243</v>
      </c>
      <c r="B225" s="44" t="s">
        <v>206</v>
      </c>
      <c r="C225" s="45">
        <v>74.2</v>
      </c>
      <c r="D225" s="45">
        <f>AVERAGEIF(graduates!$B$2:$B$301,$B225,graduates!$C$2:$C$301)</f>
        <v>75.150000000000006</v>
      </c>
      <c r="E225" s="45">
        <f>SQRT(SUMPRODUCT((graduates!$B$2:$B$301=$B225)*(graduates!$C$2:$C$301-D225)^2)/(COUNTIF(graduates!$B$2:$B$301,$B225)-1))</f>
        <v>4.1123066001662014</v>
      </c>
      <c r="F225" s="45">
        <f t="shared" si="6"/>
        <v>-0.23101390347733508</v>
      </c>
      <c r="G225" s="44">
        <f t="shared" si="7"/>
        <v>-0.23101390347733508</v>
      </c>
      <c r="H225" s="44"/>
      <c r="I225" s="44"/>
      <c r="J225" s="44"/>
    </row>
    <row r="226" spans="1:10" ht="15" customHeight="1" x14ac:dyDescent="0.3">
      <c r="A226" s="44" t="s">
        <v>244</v>
      </c>
      <c r="B226" s="44" t="s">
        <v>206</v>
      </c>
      <c r="C226" s="45">
        <v>83.3</v>
      </c>
      <c r="D226" s="45">
        <f>AVERAGEIF(graduates!$B$2:$B$301,$B226,graduates!$C$2:$C$301)</f>
        <v>75.150000000000006</v>
      </c>
      <c r="E226" s="45">
        <f>SQRT(SUMPRODUCT((graduates!$B$2:$B$301=$B226)*(graduates!$C$2:$C$301-D226)^2)/(COUNTIF(graduates!$B$2:$B$301,$B226)-1))</f>
        <v>4.1123066001662014</v>
      </c>
      <c r="F226" s="45">
        <f t="shared" si="6"/>
        <v>1.9818561193055508</v>
      </c>
      <c r="G226" s="44">
        <f t="shared" si="7"/>
        <v>1.9818561193055508</v>
      </c>
      <c r="H226" s="44"/>
      <c r="I226" s="44"/>
      <c r="J226" s="44"/>
    </row>
    <row r="227" spans="1:10" ht="15" customHeight="1" x14ac:dyDescent="0.3">
      <c r="A227" s="44" t="s">
        <v>245</v>
      </c>
      <c r="B227" s="44" t="s">
        <v>206</v>
      </c>
      <c r="C227" s="45">
        <v>68.8</v>
      </c>
      <c r="D227" s="45">
        <f>AVERAGEIF(graduates!$B$2:$B$301,$B227,graduates!$C$2:$C$301)</f>
        <v>75.150000000000006</v>
      </c>
      <c r="E227" s="45">
        <f>SQRT(SUMPRODUCT((graduates!$B$2:$B$301=$B227)*(graduates!$C$2:$C$301-D227)^2)/(COUNTIF(graduates!$B$2:$B$301,$B227)-1))</f>
        <v>4.1123066001662014</v>
      </c>
      <c r="F227" s="45">
        <f t="shared" si="6"/>
        <v>-1.5441455653485003</v>
      </c>
      <c r="G227" s="44">
        <f t="shared" si="7"/>
        <v>-1.5441455653485003</v>
      </c>
      <c r="H227" s="44"/>
      <c r="I227" s="44"/>
      <c r="J227" s="44"/>
    </row>
    <row r="228" spans="1:10" ht="15" customHeight="1" x14ac:dyDescent="0.3">
      <c r="A228" s="44" t="s">
        <v>246</v>
      </c>
      <c r="B228" s="44" t="s">
        <v>206</v>
      </c>
      <c r="C228" s="45">
        <v>72.7</v>
      </c>
      <c r="D228" s="45">
        <f>AVERAGEIF(graduates!$B$2:$B$301,$B228,graduates!$C$2:$C$301)</f>
        <v>75.150000000000006</v>
      </c>
      <c r="E228" s="45">
        <f>SQRT(SUMPRODUCT((graduates!$B$2:$B$301=$B228)*(graduates!$C$2:$C$301-D228)^2)/(COUNTIF(graduates!$B$2:$B$301,$B228)-1))</f>
        <v>4.1123066001662014</v>
      </c>
      <c r="F228" s="45">
        <f t="shared" si="6"/>
        <v>-0.59577269844154723</v>
      </c>
      <c r="G228" s="44">
        <f t="shared" si="7"/>
        <v>-0.59577269844154723</v>
      </c>
      <c r="H228" s="44"/>
      <c r="I228" s="44"/>
      <c r="J228" s="44"/>
    </row>
    <row r="229" spans="1:10" ht="15" customHeight="1" x14ac:dyDescent="0.3">
      <c r="A229" s="44" t="s">
        <v>247</v>
      </c>
      <c r="B229" s="44" t="s">
        <v>206</v>
      </c>
      <c r="C229" s="45">
        <v>69</v>
      </c>
      <c r="D229" s="45">
        <f>AVERAGEIF(graduates!$B$2:$B$301,$B229,graduates!$C$2:$C$301)</f>
        <v>75.150000000000006</v>
      </c>
      <c r="E229" s="45">
        <f>SQRT(SUMPRODUCT((graduates!$B$2:$B$301=$B229)*(graduates!$C$2:$C$301-D229)^2)/(COUNTIF(graduates!$B$2:$B$301,$B229)-1))</f>
        <v>4.1123066001662014</v>
      </c>
      <c r="F229" s="45">
        <f t="shared" si="6"/>
        <v>-1.4955110593532714</v>
      </c>
      <c r="G229" s="44">
        <f t="shared" si="7"/>
        <v>-1.4955110593532714</v>
      </c>
      <c r="H229" s="44"/>
      <c r="I229" s="44"/>
      <c r="J229" s="44"/>
    </row>
    <row r="230" spans="1:10" ht="15" customHeight="1" x14ac:dyDescent="0.3">
      <c r="A230" s="44" t="s">
        <v>248</v>
      </c>
      <c r="B230" s="44" t="s">
        <v>206</v>
      </c>
      <c r="C230" s="45">
        <v>70.2</v>
      </c>
      <c r="D230" s="45">
        <f>AVERAGEIF(graduates!$B$2:$B$301,$B230,graduates!$C$2:$C$301)</f>
        <v>75.150000000000006</v>
      </c>
      <c r="E230" s="45">
        <f>SQRT(SUMPRODUCT((graduates!$B$2:$B$301=$B230)*(graduates!$C$2:$C$301-D230)^2)/(COUNTIF(graduates!$B$2:$B$301,$B230)-1))</f>
        <v>4.1123066001662014</v>
      </c>
      <c r="F230" s="45">
        <f t="shared" si="6"/>
        <v>-1.203704023381901</v>
      </c>
      <c r="G230" s="44">
        <f t="shared" si="7"/>
        <v>-1.203704023381901</v>
      </c>
      <c r="H230" s="44"/>
      <c r="I230" s="44"/>
      <c r="J230" s="44"/>
    </row>
    <row r="231" spans="1:10" ht="15" customHeight="1" x14ac:dyDescent="0.3">
      <c r="A231" s="44" t="s">
        <v>249</v>
      </c>
      <c r="B231" s="44" t="s">
        <v>206</v>
      </c>
      <c r="C231" s="45">
        <v>78.099999999999994</v>
      </c>
      <c r="D231" s="45">
        <f>AVERAGEIF(graduates!$B$2:$B$301,$B231,graduates!$C$2:$C$301)</f>
        <v>75.150000000000006</v>
      </c>
      <c r="E231" s="45">
        <f>SQRT(SUMPRODUCT((graduates!$B$2:$B$301=$B231)*(graduates!$C$2:$C$301-D231)^2)/(COUNTIF(graduates!$B$2:$B$301,$B231)-1))</f>
        <v>4.1123066001662014</v>
      </c>
      <c r="F231" s="45">
        <f t="shared" si="6"/>
        <v>0.71735896342961458</v>
      </c>
      <c r="G231" s="44">
        <f t="shared" si="7"/>
        <v>0.71735896342961458</v>
      </c>
      <c r="H231" s="44"/>
      <c r="I231" s="44"/>
      <c r="J231" s="44"/>
    </row>
    <row r="232" spans="1:10" ht="15" customHeight="1" x14ac:dyDescent="0.3">
      <c r="A232" s="44" t="s">
        <v>250</v>
      </c>
      <c r="B232" s="44" t="s">
        <v>206</v>
      </c>
      <c r="C232" s="45">
        <v>83.6</v>
      </c>
      <c r="D232" s="45">
        <f>AVERAGEIF(graduates!$B$2:$B$301,$B232,graduates!$C$2:$C$301)</f>
        <v>75.150000000000006</v>
      </c>
      <c r="E232" s="45">
        <f>SQRT(SUMPRODUCT((graduates!$B$2:$B$301=$B232)*(graduates!$C$2:$C$301-D232)^2)/(COUNTIF(graduates!$B$2:$B$301,$B232)-1))</f>
        <v>4.1123066001662014</v>
      </c>
      <c r="F232" s="45">
        <f t="shared" si="6"/>
        <v>2.0548078782983925</v>
      </c>
      <c r="G232" s="44">
        <f t="shared" si="7"/>
        <v>2.0548078782983925</v>
      </c>
      <c r="H232" s="44"/>
      <c r="I232" s="44"/>
      <c r="J232" s="44"/>
    </row>
    <row r="233" spans="1:10" ht="15" customHeight="1" x14ac:dyDescent="0.3">
      <c r="A233" s="44" t="s">
        <v>251</v>
      </c>
      <c r="B233" s="44" t="s">
        <v>206</v>
      </c>
      <c r="C233" s="45">
        <v>78.5</v>
      </c>
      <c r="D233" s="45">
        <f>AVERAGEIF(graduates!$B$2:$B$301,$B233,graduates!$C$2:$C$301)</f>
        <v>75.150000000000006</v>
      </c>
      <c r="E233" s="45">
        <f>SQRT(SUMPRODUCT((graduates!$B$2:$B$301=$B233)*(graduates!$C$2:$C$301-D233)^2)/(COUNTIF(graduates!$B$2:$B$301,$B233)-1))</f>
        <v>4.1123066001662014</v>
      </c>
      <c r="F233" s="45">
        <f t="shared" si="6"/>
        <v>0.81462797542007248</v>
      </c>
      <c r="G233" s="44">
        <f t="shared" si="7"/>
        <v>0.81462797542007248</v>
      </c>
      <c r="H233" s="44"/>
      <c r="I233" s="44"/>
      <c r="J233" s="44"/>
    </row>
    <row r="234" spans="1:10" ht="15" customHeight="1" x14ac:dyDescent="0.3">
      <c r="A234" s="44" t="s">
        <v>252</v>
      </c>
      <c r="B234" s="44" t="s">
        <v>206</v>
      </c>
      <c r="C234" s="45">
        <v>76.599999999999994</v>
      </c>
      <c r="D234" s="45">
        <f>AVERAGEIF(graduates!$B$2:$B$301,$B234,graduates!$C$2:$C$301)</f>
        <v>75.150000000000006</v>
      </c>
      <c r="E234" s="45">
        <f>SQRT(SUMPRODUCT((graduates!$B$2:$B$301=$B234)*(graduates!$C$2:$C$301-D234)^2)/(COUNTIF(graduates!$B$2:$B$301,$B234)-1))</f>
        <v>4.1123066001662014</v>
      </c>
      <c r="F234" s="45">
        <f t="shared" si="6"/>
        <v>0.35260016846540237</v>
      </c>
      <c r="G234" s="44">
        <f t="shared" si="7"/>
        <v>0.35260016846540237</v>
      </c>
      <c r="H234" s="44"/>
      <c r="I234" s="44"/>
      <c r="J234" s="44"/>
    </row>
    <row r="235" spans="1:10" ht="15" customHeight="1" x14ac:dyDescent="0.3">
      <c r="A235" s="44" t="s">
        <v>253</v>
      </c>
      <c r="B235" s="44" t="s">
        <v>206</v>
      </c>
      <c r="C235" s="45">
        <v>76.900000000000006</v>
      </c>
      <c r="D235" s="45">
        <f>AVERAGEIF(graduates!$B$2:$B$301,$B235,graduates!$C$2:$C$301)</f>
        <v>75.150000000000006</v>
      </c>
      <c r="E235" s="45">
        <f>SQRT(SUMPRODUCT((graduates!$B$2:$B$301=$B235)*(graduates!$C$2:$C$301-D235)^2)/(COUNTIF(graduates!$B$2:$B$301,$B235)-1))</f>
        <v>4.1123066001662014</v>
      </c>
      <c r="F235" s="45">
        <f t="shared" si="6"/>
        <v>0.42555192745824755</v>
      </c>
      <c r="G235" s="44">
        <f t="shared" si="7"/>
        <v>0.42555192745824755</v>
      </c>
      <c r="H235" s="44"/>
      <c r="I235" s="44"/>
      <c r="J235" s="44"/>
    </row>
    <row r="236" spans="1:10" ht="15" customHeight="1" x14ac:dyDescent="0.3">
      <c r="A236" s="44" t="s">
        <v>254</v>
      </c>
      <c r="B236" s="44" t="s">
        <v>206</v>
      </c>
      <c r="C236" s="45">
        <v>74.400000000000006</v>
      </c>
      <c r="D236" s="45">
        <f>AVERAGEIF(graduates!$B$2:$B$301,$B236,graduates!$C$2:$C$301)</f>
        <v>75.150000000000006</v>
      </c>
      <c r="E236" s="45">
        <f>SQRT(SUMPRODUCT((graduates!$B$2:$B$301=$B236)*(graduates!$C$2:$C$301-D236)^2)/(COUNTIF(graduates!$B$2:$B$301,$B236)-1))</f>
        <v>4.1123066001662014</v>
      </c>
      <c r="F236" s="45">
        <f t="shared" si="6"/>
        <v>-0.1823793974821061</v>
      </c>
      <c r="G236" s="44">
        <f t="shared" si="7"/>
        <v>-0.1823793974821061</v>
      </c>
      <c r="H236" s="44"/>
      <c r="I236" s="44"/>
      <c r="J236" s="44"/>
    </row>
    <row r="237" spans="1:10" ht="15" customHeight="1" x14ac:dyDescent="0.3">
      <c r="A237" s="44" t="s">
        <v>255</v>
      </c>
      <c r="B237" s="44" t="s">
        <v>206</v>
      </c>
      <c r="C237" s="45">
        <v>77.599999999999994</v>
      </c>
      <c r="D237" s="45">
        <f>AVERAGEIF(graduates!$B$2:$B$301,$B237,graduates!$C$2:$C$301)</f>
        <v>75.150000000000006</v>
      </c>
      <c r="E237" s="45">
        <f>SQRT(SUMPRODUCT((graduates!$B$2:$B$301=$B237)*(graduates!$C$2:$C$301-D237)^2)/(COUNTIF(graduates!$B$2:$B$301,$B237)-1))</f>
        <v>4.1123066001662014</v>
      </c>
      <c r="F237" s="45">
        <f t="shared" si="6"/>
        <v>0.59577269844154379</v>
      </c>
      <c r="G237" s="44">
        <f t="shared" si="7"/>
        <v>0.59577269844154379</v>
      </c>
      <c r="H237" s="44"/>
      <c r="I237" s="44"/>
      <c r="J237" s="44"/>
    </row>
    <row r="238" spans="1:10" ht="15" customHeight="1" x14ac:dyDescent="0.3">
      <c r="A238" s="44" t="s">
        <v>256</v>
      </c>
      <c r="B238" s="44" t="s">
        <v>206</v>
      </c>
      <c r="C238" s="45">
        <v>75.900000000000006</v>
      </c>
      <c r="D238" s="45">
        <f>AVERAGEIF(graduates!$B$2:$B$301,$B238,graduates!$C$2:$C$301)</f>
        <v>75.150000000000006</v>
      </c>
      <c r="E238" s="45">
        <f>SQRT(SUMPRODUCT((graduates!$B$2:$B$301=$B238)*(graduates!$C$2:$C$301-D238)^2)/(COUNTIF(graduates!$B$2:$B$301,$B238)-1))</f>
        <v>4.1123066001662014</v>
      </c>
      <c r="F238" s="45">
        <f t="shared" si="6"/>
        <v>0.1823793974821061</v>
      </c>
      <c r="G238" s="44">
        <f t="shared" si="7"/>
        <v>0.1823793974821061</v>
      </c>
      <c r="H238" s="44"/>
      <c r="I238" s="44"/>
      <c r="J238" s="44"/>
    </row>
    <row r="239" spans="1:10" ht="15" customHeight="1" x14ac:dyDescent="0.3">
      <c r="A239" s="44" t="s">
        <v>257</v>
      </c>
      <c r="B239" s="44" t="s">
        <v>206</v>
      </c>
      <c r="C239" s="45">
        <v>79.599999999999994</v>
      </c>
      <c r="D239" s="45">
        <f>AVERAGEIF(graduates!$B$2:$B$301,$B239,graduates!$C$2:$C$301)</f>
        <v>75.150000000000006</v>
      </c>
      <c r="E239" s="45">
        <f>SQRT(SUMPRODUCT((graduates!$B$2:$B$301=$B239)*(graduates!$C$2:$C$301-D239)^2)/(COUNTIF(graduates!$B$2:$B$301,$B239)-1))</f>
        <v>4.1123066001662014</v>
      </c>
      <c r="F239" s="45">
        <f t="shared" si="6"/>
        <v>1.0821177583938268</v>
      </c>
      <c r="G239" s="44">
        <f t="shared" si="7"/>
        <v>1.0821177583938268</v>
      </c>
      <c r="H239" s="44"/>
      <c r="I239" s="44"/>
      <c r="J239" s="44"/>
    </row>
    <row r="240" spans="1:10" ht="15" customHeight="1" x14ac:dyDescent="0.3">
      <c r="A240" s="44" t="s">
        <v>258</v>
      </c>
      <c r="B240" s="44" t="s">
        <v>206</v>
      </c>
      <c r="C240" s="45">
        <v>73.400000000000006</v>
      </c>
      <c r="D240" s="45">
        <f>AVERAGEIF(graduates!$B$2:$B$301,$B240,graduates!$C$2:$C$301)</f>
        <v>75.150000000000006</v>
      </c>
      <c r="E240" s="45">
        <f>SQRT(SUMPRODUCT((graduates!$B$2:$B$301=$B240)*(graduates!$C$2:$C$301-D240)^2)/(COUNTIF(graduates!$B$2:$B$301,$B240)-1))</f>
        <v>4.1123066001662014</v>
      </c>
      <c r="F240" s="45">
        <f t="shared" si="6"/>
        <v>-0.42555192745824755</v>
      </c>
      <c r="G240" s="44">
        <f t="shared" si="7"/>
        <v>-0.42555192745824755</v>
      </c>
      <c r="H240" s="44"/>
      <c r="I240" s="44"/>
      <c r="J240" s="44"/>
    </row>
    <row r="241" spans="1:10" ht="15" customHeight="1" x14ac:dyDescent="0.3">
      <c r="A241" s="44" t="s">
        <v>259</v>
      </c>
      <c r="B241" s="44" t="s">
        <v>206</v>
      </c>
      <c r="C241" s="45">
        <v>78.7</v>
      </c>
      <c r="D241" s="45">
        <f>AVERAGEIF(graduates!$B$2:$B$301,$B241,graduates!$C$2:$C$301)</f>
        <v>75.150000000000006</v>
      </c>
      <c r="E241" s="45">
        <f>SQRT(SUMPRODUCT((graduates!$B$2:$B$301=$B241)*(graduates!$C$2:$C$301-D241)^2)/(COUNTIF(graduates!$B$2:$B$301,$B241)-1))</f>
        <v>4.1123066001662014</v>
      </c>
      <c r="F241" s="45">
        <f t="shared" si="6"/>
        <v>0.86326248141530149</v>
      </c>
      <c r="G241" s="44">
        <f t="shared" si="7"/>
        <v>0.86326248141530149</v>
      </c>
      <c r="H241" s="44"/>
      <c r="I241" s="44"/>
      <c r="J241" s="44"/>
    </row>
    <row r="242" spans="1:10" ht="15" customHeight="1" x14ac:dyDescent="0.3">
      <c r="A242" s="44" t="s">
        <v>260</v>
      </c>
      <c r="B242" s="44" t="s">
        <v>206</v>
      </c>
      <c r="C242" s="45">
        <v>75.8</v>
      </c>
      <c r="D242" s="45">
        <f>AVERAGEIF(graduates!$B$2:$B$301,$B242,graduates!$C$2:$C$301)</f>
        <v>75.150000000000006</v>
      </c>
      <c r="E242" s="45">
        <f>SQRT(SUMPRODUCT((graduates!$B$2:$B$301=$B242)*(graduates!$C$2:$C$301-D242)^2)/(COUNTIF(graduates!$B$2:$B$301,$B242)-1))</f>
        <v>4.1123066001662014</v>
      </c>
      <c r="F242" s="45">
        <f t="shared" si="6"/>
        <v>0.15806214448448988</v>
      </c>
      <c r="G242" s="44">
        <f t="shared" si="7"/>
        <v>0.15806214448448988</v>
      </c>
      <c r="H242" s="44"/>
      <c r="I242" s="44"/>
      <c r="J242" s="44"/>
    </row>
    <row r="243" spans="1:10" ht="15" customHeight="1" x14ac:dyDescent="0.3">
      <c r="A243" s="44" t="s">
        <v>261</v>
      </c>
      <c r="B243" s="44" t="s">
        <v>206</v>
      </c>
      <c r="C243" s="45">
        <v>72.7</v>
      </c>
      <c r="D243" s="45">
        <f>AVERAGEIF(graduates!$B$2:$B$301,$B243,graduates!$C$2:$C$301)</f>
        <v>75.150000000000006</v>
      </c>
      <c r="E243" s="45">
        <f>SQRT(SUMPRODUCT((graduates!$B$2:$B$301=$B243)*(graduates!$C$2:$C$301-D243)^2)/(COUNTIF(graduates!$B$2:$B$301,$B243)-1))</f>
        <v>4.1123066001662014</v>
      </c>
      <c r="F243" s="45">
        <f t="shared" si="6"/>
        <v>-0.59577269844154723</v>
      </c>
      <c r="G243" s="44">
        <f t="shared" si="7"/>
        <v>-0.59577269844154723</v>
      </c>
      <c r="H243" s="44"/>
      <c r="I243" s="44"/>
      <c r="J243" s="44"/>
    </row>
    <row r="244" spans="1:10" ht="15" customHeight="1" x14ac:dyDescent="0.3">
      <c r="A244" s="44" t="s">
        <v>262</v>
      </c>
      <c r="B244" s="44" t="s">
        <v>206</v>
      </c>
      <c r="C244" s="45">
        <v>75.099999999999994</v>
      </c>
      <c r="D244" s="45">
        <f>AVERAGEIF(graduates!$B$2:$B$301,$B244,graduates!$C$2:$C$301)</f>
        <v>75.150000000000006</v>
      </c>
      <c r="E244" s="45">
        <f>SQRT(SUMPRODUCT((graduates!$B$2:$B$301=$B244)*(graduates!$C$2:$C$301-D244)^2)/(COUNTIF(graduates!$B$2:$B$301,$B244)-1))</f>
        <v>4.1123066001662014</v>
      </c>
      <c r="F244" s="45">
        <f t="shared" si="6"/>
        <v>-1.2158626498809838E-2</v>
      </c>
      <c r="G244" s="44">
        <f t="shared" si="7"/>
        <v>-1.2158626498809838E-2</v>
      </c>
      <c r="H244" s="44"/>
      <c r="I244" s="44"/>
      <c r="J244" s="44"/>
    </row>
    <row r="245" spans="1:10" ht="15" customHeight="1" x14ac:dyDescent="0.3">
      <c r="A245" s="44" t="s">
        <v>263</v>
      </c>
      <c r="B245" s="44" t="s">
        <v>206</v>
      </c>
      <c r="C245" s="45">
        <v>70.3</v>
      </c>
      <c r="D245" s="45">
        <f>AVERAGEIF(graduates!$B$2:$B$301,$B245,graduates!$C$2:$C$301)</f>
        <v>75.150000000000006</v>
      </c>
      <c r="E245" s="45">
        <f>SQRT(SUMPRODUCT((graduates!$B$2:$B$301=$B245)*(graduates!$C$2:$C$301-D245)^2)/(COUNTIF(graduates!$B$2:$B$301,$B245)-1))</f>
        <v>4.1123066001662014</v>
      </c>
      <c r="F245" s="45">
        <f t="shared" si="6"/>
        <v>-1.1793867703842882</v>
      </c>
      <c r="G245" s="44">
        <f t="shared" si="7"/>
        <v>-1.1793867703842882</v>
      </c>
      <c r="H245" s="44"/>
      <c r="I245" s="44"/>
      <c r="J245" s="44"/>
    </row>
    <row r="246" spans="1:10" ht="15" customHeight="1" x14ac:dyDescent="0.3">
      <c r="A246" s="44" t="s">
        <v>264</v>
      </c>
      <c r="B246" s="44" t="s">
        <v>206</v>
      </c>
      <c r="C246" s="45">
        <v>77</v>
      </c>
      <c r="D246" s="45">
        <f>AVERAGEIF(graduates!$B$2:$B$301,$B246,graduates!$C$2:$C$301)</f>
        <v>75.150000000000006</v>
      </c>
      <c r="E246" s="45">
        <f>SQRT(SUMPRODUCT((graduates!$B$2:$B$301=$B246)*(graduates!$C$2:$C$301-D246)^2)/(COUNTIF(graduates!$B$2:$B$301,$B246)-1))</f>
        <v>4.1123066001662014</v>
      </c>
      <c r="F246" s="45">
        <f t="shared" si="6"/>
        <v>0.44986918045586033</v>
      </c>
      <c r="G246" s="44">
        <f t="shared" si="7"/>
        <v>0.44986918045586033</v>
      </c>
      <c r="H246" s="44"/>
      <c r="I246" s="44"/>
      <c r="J246" s="44"/>
    </row>
    <row r="247" spans="1:10" ht="15" customHeight="1" x14ac:dyDescent="0.3">
      <c r="A247" s="44" t="s">
        <v>265</v>
      </c>
      <c r="B247" s="44" t="s">
        <v>206</v>
      </c>
      <c r="C247" s="45">
        <v>73.8</v>
      </c>
      <c r="D247" s="45">
        <f>AVERAGEIF(graduates!$B$2:$B$301,$B247,graduates!$C$2:$C$301)</f>
        <v>75.150000000000006</v>
      </c>
      <c r="E247" s="45">
        <f>SQRT(SUMPRODUCT((graduates!$B$2:$B$301=$B247)*(graduates!$C$2:$C$301-D247)^2)/(COUNTIF(graduates!$B$2:$B$301,$B247)-1))</f>
        <v>4.1123066001662014</v>
      </c>
      <c r="F247" s="45">
        <f t="shared" si="6"/>
        <v>-0.32828291546779304</v>
      </c>
      <c r="G247" s="44">
        <f t="shared" si="7"/>
        <v>-0.32828291546779304</v>
      </c>
      <c r="H247" s="44"/>
      <c r="I247" s="44"/>
      <c r="J247" s="44"/>
    </row>
    <row r="248" spans="1:10" ht="15" customHeight="1" x14ac:dyDescent="0.3">
      <c r="A248" s="44" t="s">
        <v>266</v>
      </c>
      <c r="B248" s="44" t="s">
        <v>206</v>
      </c>
      <c r="C248" s="45">
        <v>78.599999999999994</v>
      </c>
      <c r="D248" s="45">
        <f>AVERAGEIF(graduates!$B$2:$B$301,$B248,graduates!$C$2:$C$301)</f>
        <v>75.150000000000006</v>
      </c>
      <c r="E248" s="45">
        <f>SQRT(SUMPRODUCT((graduates!$B$2:$B$301=$B248)*(graduates!$C$2:$C$301-D248)^2)/(COUNTIF(graduates!$B$2:$B$301,$B248)-1))</f>
        <v>4.1123066001662014</v>
      </c>
      <c r="F248" s="45">
        <f t="shared" si="6"/>
        <v>0.83894522841768526</v>
      </c>
      <c r="G248" s="44">
        <f t="shared" si="7"/>
        <v>0.83894522841768526</v>
      </c>
      <c r="H248" s="44"/>
      <c r="I248" s="44"/>
      <c r="J248" s="44"/>
    </row>
    <row r="249" spans="1:10" ht="15" customHeight="1" x14ac:dyDescent="0.3">
      <c r="A249" s="44" t="s">
        <v>267</v>
      </c>
      <c r="B249" s="44" t="s">
        <v>206</v>
      </c>
      <c r="C249" s="45">
        <v>73</v>
      </c>
      <c r="D249" s="45">
        <f>AVERAGEIF(graduates!$B$2:$B$301,$B249,graduates!$C$2:$C$301)</f>
        <v>75.150000000000006</v>
      </c>
      <c r="E249" s="45">
        <f>SQRT(SUMPRODUCT((graduates!$B$2:$B$301=$B249)*(graduates!$C$2:$C$301-D249)^2)/(COUNTIF(graduates!$B$2:$B$301,$B249)-1))</f>
        <v>4.1123066001662014</v>
      </c>
      <c r="F249" s="45">
        <f t="shared" si="6"/>
        <v>-0.52282093944870556</v>
      </c>
      <c r="G249" s="44">
        <f t="shared" si="7"/>
        <v>-0.52282093944870556</v>
      </c>
      <c r="H249" s="44"/>
      <c r="I249" s="44"/>
      <c r="J249" s="44"/>
    </row>
    <row r="250" spans="1:10" ht="15" customHeight="1" x14ac:dyDescent="0.3">
      <c r="A250" s="44" t="s">
        <v>268</v>
      </c>
      <c r="B250" s="44" t="s">
        <v>269</v>
      </c>
      <c r="C250" s="45">
        <v>62.6</v>
      </c>
      <c r="D250" s="45">
        <f>AVERAGEIF(graduates!$B$2:$B$301,$B250,graduates!$C$2:$C$301)</f>
        <v>71.350909090909084</v>
      </c>
      <c r="E250" s="45">
        <f>SQRT(SUMPRODUCT((graduates!$B$2:$B$301=$B250)*(graduates!$C$2:$C$301-D250)^2)/(COUNTIF(graduates!$B$2:$B$301,$B250)-1))</f>
        <v>11.27685063612001</v>
      </c>
      <c r="F250" s="45">
        <f t="shared" si="6"/>
        <v>-0.7760064731973767</v>
      </c>
      <c r="G250" s="44">
        <f t="shared" si="7"/>
        <v>-0.7760064731973767</v>
      </c>
      <c r="H250" s="44"/>
      <c r="I250" s="44"/>
      <c r="J250" s="44"/>
    </row>
    <row r="251" spans="1:10" ht="15" customHeight="1" x14ac:dyDescent="0.3">
      <c r="A251" s="44" t="s">
        <v>270</v>
      </c>
      <c r="B251" s="44" t="s">
        <v>269</v>
      </c>
      <c r="C251" s="45">
        <v>78.3</v>
      </c>
      <c r="D251" s="45">
        <f>AVERAGEIF(graduates!$B$2:$B$301,$B251,graduates!$C$2:$C$301)</f>
        <v>71.350909090909084</v>
      </c>
      <c r="E251" s="45">
        <f>SQRT(SUMPRODUCT((graduates!$B$2:$B$301=$B251)*(graduates!$C$2:$C$301-D251)^2)/(COUNTIF(graduates!$B$2:$B$301,$B251)-1))</f>
        <v>11.27685063612001</v>
      </c>
      <c r="F251" s="45">
        <f t="shared" si="6"/>
        <v>0.61622620830259256</v>
      </c>
      <c r="G251" s="44">
        <f t="shared" si="7"/>
        <v>0.61622620830259256</v>
      </c>
      <c r="H251" s="44"/>
      <c r="I251" s="44"/>
      <c r="J251" s="44"/>
    </row>
    <row r="252" spans="1:10" ht="15" customHeight="1" x14ac:dyDescent="0.3">
      <c r="A252" s="44" t="s">
        <v>271</v>
      </c>
      <c r="B252" s="44" t="s">
        <v>269</v>
      </c>
      <c r="C252" s="45">
        <v>82.9</v>
      </c>
      <c r="D252" s="45">
        <f>AVERAGEIF(graduates!$B$2:$B$301,$B252,graduates!$C$2:$C$301)</f>
        <v>71.350909090909084</v>
      </c>
      <c r="E252" s="45">
        <f>SQRT(SUMPRODUCT((graduates!$B$2:$B$301=$B252)*(graduates!$C$2:$C$301-D252)^2)/(COUNTIF(graduates!$B$2:$B$301,$B252)-1))</f>
        <v>11.27685063612001</v>
      </c>
      <c r="F252" s="45">
        <f t="shared" si="6"/>
        <v>1.0241415162579985</v>
      </c>
      <c r="G252" s="44">
        <f t="shared" si="7"/>
        <v>1.0241415162579985</v>
      </c>
      <c r="H252" s="44"/>
      <c r="I252" s="44"/>
      <c r="J252" s="44"/>
    </row>
    <row r="253" spans="1:10" ht="15" customHeight="1" x14ac:dyDescent="0.3">
      <c r="A253" s="44" t="s">
        <v>272</v>
      </c>
      <c r="B253" s="44" t="s">
        <v>269</v>
      </c>
      <c r="C253" s="45">
        <v>71.8</v>
      </c>
      <c r="D253" s="45">
        <f>AVERAGEIF(graduates!$B$2:$B$301,$B253,graduates!$C$2:$C$301)</f>
        <v>71.350909090909084</v>
      </c>
      <c r="E253" s="45">
        <f>SQRT(SUMPRODUCT((graduates!$B$2:$B$301=$B253)*(graduates!$C$2:$C$301-D253)^2)/(COUNTIF(graduates!$B$2:$B$301,$B253)-1))</f>
        <v>11.27685063612001</v>
      </c>
      <c r="F253" s="45">
        <f t="shared" si="6"/>
        <v>3.982414271343316E-2</v>
      </c>
      <c r="G253" s="44">
        <f t="shared" si="7"/>
        <v>3.982414271343316E-2</v>
      </c>
      <c r="H253" s="44"/>
      <c r="I253" s="44"/>
      <c r="J253" s="44"/>
    </row>
    <row r="254" spans="1:10" ht="15" customHeight="1" x14ac:dyDescent="0.3">
      <c r="A254" s="44" t="s">
        <v>273</v>
      </c>
      <c r="B254" s="44" t="s">
        <v>269</v>
      </c>
      <c r="C254" s="45">
        <v>61</v>
      </c>
      <c r="D254" s="45">
        <f>AVERAGEIF(graduates!$B$2:$B$301,$B254,graduates!$C$2:$C$301)</f>
        <v>71.350909090909084</v>
      </c>
      <c r="E254" s="45">
        <f>SQRT(SUMPRODUCT((graduates!$B$2:$B$301=$B254)*(graduates!$C$2:$C$301-D254)^2)/(COUNTIF(graduates!$B$2:$B$301,$B254)-1))</f>
        <v>11.27685063612001</v>
      </c>
      <c r="F254" s="45">
        <f t="shared" si="6"/>
        <v>-0.91789005857316996</v>
      </c>
      <c r="G254" s="44">
        <f t="shared" si="7"/>
        <v>-0.91789005857316996</v>
      </c>
      <c r="H254" s="44"/>
      <c r="I254" s="44"/>
      <c r="J254" s="44"/>
    </row>
    <row r="255" spans="1:10" ht="15" customHeight="1" x14ac:dyDescent="0.3">
      <c r="A255" s="44" t="s">
        <v>274</v>
      </c>
      <c r="B255" s="44" t="s">
        <v>269</v>
      </c>
      <c r="C255" s="45">
        <v>73.900000000000006</v>
      </c>
      <c r="D255" s="45">
        <f>AVERAGEIF(graduates!$B$2:$B$301,$B255,graduates!$C$2:$C$301)</f>
        <v>71.350909090909084</v>
      </c>
      <c r="E255" s="45">
        <f>SQRT(SUMPRODUCT((graduates!$B$2:$B$301=$B255)*(graduates!$C$2:$C$301-D255)^2)/(COUNTIF(graduates!$B$2:$B$301,$B255)-1))</f>
        <v>11.27685063612001</v>
      </c>
      <c r="F255" s="45">
        <f t="shared" si="6"/>
        <v>0.22604634851916233</v>
      </c>
      <c r="G255" s="44">
        <f t="shared" si="7"/>
        <v>0.22604634851916233</v>
      </c>
      <c r="H255" s="44"/>
      <c r="I255" s="44"/>
      <c r="J255" s="44"/>
    </row>
    <row r="256" spans="1:10" ht="15" customHeight="1" x14ac:dyDescent="0.3">
      <c r="A256" s="44" t="s">
        <v>275</v>
      </c>
      <c r="B256" s="44" t="s">
        <v>269</v>
      </c>
      <c r="C256" s="45">
        <v>83.3</v>
      </c>
      <c r="D256" s="45">
        <f>AVERAGEIF(graduates!$B$2:$B$301,$B256,graduates!$C$2:$C$301)</f>
        <v>71.350909090909084</v>
      </c>
      <c r="E256" s="45">
        <f>SQRT(SUMPRODUCT((graduates!$B$2:$B$301=$B256)*(graduates!$C$2:$C$301-D256)^2)/(COUNTIF(graduates!$B$2:$B$301,$B256)-1))</f>
        <v>11.27685063612001</v>
      </c>
      <c r="F256" s="45">
        <f t="shared" si="6"/>
        <v>1.0596124126019459</v>
      </c>
      <c r="G256" s="44">
        <f t="shared" si="7"/>
        <v>1.0596124126019459</v>
      </c>
      <c r="H256" s="44"/>
      <c r="I256" s="44"/>
      <c r="J256" s="44"/>
    </row>
    <row r="257" spans="1:10" ht="15" customHeight="1" x14ac:dyDescent="0.3">
      <c r="A257" s="44" t="s">
        <v>276</v>
      </c>
      <c r="B257" s="44" t="s">
        <v>269</v>
      </c>
      <c r="C257" s="45">
        <v>42.4</v>
      </c>
      <c r="D257" s="45">
        <f>AVERAGEIF(graduates!$B$2:$B$301,$B257,graduates!$C$2:$C$301)</f>
        <v>71.350909090909084</v>
      </c>
      <c r="E257" s="45">
        <f>SQRT(SUMPRODUCT((graduates!$B$2:$B$301=$B257)*(graduates!$C$2:$C$301-D257)^2)/(COUNTIF(graduates!$B$2:$B$301,$B257)-1))</f>
        <v>11.27685063612001</v>
      </c>
      <c r="F257" s="45">
        <f t="shared" si="6"/>
        <v>-2.5672867385667648</v>
      </c>
      <c r="G257" s="44">
        <f t="shared" si="7"/>
        <v>-2.5672867385667648</v>
      </c>
      <c r="H257" s="44"/>
      <c r="I257" s="44"/>
      <c r="J257" s="44"/>
    </row>
    <row r="258" spans="1:10" ht="15" customHeight="1" x14ac:dyDescent="0.3">
      <c r="A258" s="44" t="s">
        <v>277</v>
      </c>
      <c r="B258" s="44" t="s">
        <v>269</v>
      </c>
      <c r="C258" s="45">
        <v>59.4</v>
      </c>
      <c r="D258" s="45">
        <f>AVERAGEIF(graduates!$B$2:$B$301,$B258,graduates!$C$2:$C$301)</f>
        <v>71.350909090909084</v>
      </c>
      <c r="E258" s="45">
        <f>SQRT(SUMPRODUCT((graduates!$B$2:$B$301=$B258)*(graduates!$C$2:$C$301-D258)^2)/(COUNTIF(graduates!$B$2:$B$301,$B258)-1))</f>
        <v>11.27685063612001</v>
      </c>
      <c r="F258" s="45">
        <f t="shared" si="6"/>
        <v>-1.0597736439489631</v>
      </c>
      <c r="G258" s="44">
        <f t="shared" si="7"/>
        <v>-1.0597736439489631</v>
      </c>
      <c r="H258" s="44"/>
      <c r="I258" s="44"/>
      <c r="J258" s="44"/>
    </row>
    <row r="259" spans="1:10" ht="15" customHeight="1" x14ac:dyDescent="0.3">
      <c r="A259" s="44" t="s">
        <v>278</v>
      </c>
      <c r="B259" s="44" t="s">
        <v>269</v>
      </c>
      <c r="C259" s="45">
        <v>59.6</v>
      </c>
      <c r="D259" s="45">
        <f>AVERAGEIF(graduates!$B$2:$B$301,$B259,graduates!$C$2:$C$301)</f>
        <v>71.350909090909084</v>
      </c>
      <c r="E259" s="45">
        <f>SQRT(SUMPRODUCT((graduates!$B$2:$B$301=$B259)*(graduates!$C$2:$C$301-D259)^2)/(COUNTIF(graduates!$B$2:$B$301,$B259)-1))</f>
        <v>11.27685063612001</v>
      </c>
      <c r="F259" s="45">
        <f t="shared" si="6"/>
        <v>-1.0420381957769889</v>
      </c>
      <c r="G259" s="44">
        <f t="shared" si="7"/>
        <v>-1.0420381957769889</v>
      </c>
      <c r="H259" s="44"/>
      <c r="I259" s="44"/>
      <c r="J259" s="44"/>
    </row>
    <row r="260" spans="1:10" ht="15" customHeight="1" x14ac:dyDescent="0.3">
      <c r="A260" s="44" t="s">
        <v>279</v>
      </c>
      <c r="B260" s="44" t="s">
        <v>269</v>
      </c>
      <c r="C260" s="45">
        <v>71.2</v>
      </c>
      <c r="D260" s="45">
        <f>AVERAGEIF(graduates!$B$2:$B$301,$B260,graduates!$C$2:$C$301)</f>
        <v>71.350909090909084</v>
      </c>
      <c r="E260" s="45">
        <f>SQRT(SUMPRODUCT((graduates!$B$2:$B$301=$B260)*(graduates!$C$2:$C$301-D260)^2)/(COUNTIF(graduates!$B$2:$B$301,$B260)-1))</f>
        <v>11.27685063612001</v>
      </c>
      <c r="F260" s="45">
        <f t="shared" si="6"/>
        <v>-1.3382201802488745E-2</v>
      </c>
      <c r="G260" s="44">
        <f t="shared" si="7"/>
        <v>-1.3382201802488745E-2</v>
      </c>
      <c r="H260" s="44"/>
      <c r="I260" s="44"/>
      <c r="J260" s="44"/>
    </row>
    <row r="261" spans="1:10" ht="15" customHeight="1" x14ac:dyDescent="0.3">
      <c r="A261" s="44" t="s">
        <v>280</v>
      </c>
      <c r="B261" s="44" t="s">
        <v>269</v>
      </c>
      <c r="C261" s="45">
        <v>71.900000000000006</v>
      </c>
      <c r="D261" s="45">
        <f>AVERAGEIF(graduates!$B$2:$B$301,$B261,graduates!$C$2:$C$301)</f>
        <v>71.350909090909084</v>
      </c>
      <c r="E261" s="45">
        <f>SQRT(SUMPRODUCT((graduates!$B$2:$B$301=$B261)*(graduates!$C$2:$C$301-D261)^2)/(COUNTIF(graduates!$B$2:$B$301,$B261)-1))</f>
        <v>11.27685063612001</v>
      </c>
      <c r="F261" s="45">
        <f t="shared" ref="F261:F324" si="8">(C261-D261)/E261</f>
        <v>4.8691866799420981E-2</v>
      </c>
      <c r="G261" s="44">
        <f t="shared" ref="G261:G304" si="9">(C261-D261)/E261</f>
        <v>4.8691866799420981E-2</v>
      </c>
      <c r="H261" s="44"/>
      <c r="I261" s="44"/>
      <c r="J261" s="44"/>
    </row>
    <row r="262" spans="1:10" ht="15" customHeight="1" x14ac:dyDescent="0.3">
      <c r="A262" s="44" t="s">
        <v>281</v>
      </c>
      <c r="B262" s="44" t="s">
        <v>269</v>
      </c>
      <c r="C262" s="45">
        <v>75.3</v>
      </c>
      <c r="D262" s="45">
        <f>AVERAGEIF(graduates!$B$2:$B$301,$B262,graduates!$C$2:$C$301)</f>
        <v>71.350909090909084</v>
      </c>
      <c r="E262" s="45">
        <f>SQRT(SUMPRODUCT((graduates!$B$2:$B$301=$B262)*(graduates!$C$2:$C$301-D262)^2)/(COUNTIF(graduates!$B$2:$B$301,$B262)-1))</f>
        <v>11.27685063612001</v>
      </c>
      <c r="F262" s="45">
        <f t="shared" si="8"/>
        <v>0.35019448572298056</v>
      </c>
      <c r="G262" s="44">
        <f t="shared" si="9"/>
        <v>0.35019448572298056</v>
      </c>
      <c r="H262" s="44"/>
      <c r="I262" s="44"/>
      <c r="J262" s="44"/>
    </row>
    <row r="263" spans="1:10" ht="15" customHeight="1" x14ac:dyDescent="0.3">
      <c r="A263" s="44" t="s">
        <v>282</v>
      </c>
      <c r="B263" s="44" t="s">
        <v>269</v>
      </c>
      <c r="C263" s="45">
        <v>72.8</v>
      </c>
      <c r="D263" s="45">
        <f>AVERAGEIF(graduates!$B$2:$B$301,$B263,graduates!$C$2:$C$301)</f>
        <v>71.350909090909084</v>
      </c>
      <c r="E263" s="45">
        <f>SQRT(SUMPRODUCT((graduates!$B$2:$B$301=$B263)*(graduates!$C$2:$C$301-D263)^2)/(COUNTIF(graduates!$B$2:$B$301,$B263)-1))</f>
        <v>11.27685063612001</v>
      </c>
      <c r="F263" s="45">
        <f t="shared" si="8"/>
        <v>0.12850138357330385</v>
      </c>
      <c r="G263" s="44">
        <f t="shared" si="9"/>
        <v>0.12850138357330385</v>
      </c>
      <c r="H263" s="44"/>
      <c r="I263" s="44"/>
      <c r="J263" s="44"/>
    </row>
    <row r="264" spans="1:10" ht="15" customHeight="1" x14ac:dyDescent="0.3">
      <c r="A264" s="44" t="s">
        <v>283</v>
      </c>
      <c r="B264" s="44" t="s">
        <v>269</v>
      </c>
      <c r="C264" s="45">
        <v>63.3</v>
      </c>
      <c r="D264" s="45">
        <f>AVERAGEIF(graduates!$B$2:$B$301,$B264,graduates!$C$2:$C$301)</f>
        <v>71.350909090909084</v>
      </c>
      <c r="E264" s="45">
        <f>SQRT(SUMPRODUCT((graduates!$B$2:$B$301=$B264)*(graduates!$C$2:$C$301-D264)^2)/(COUNTIF(graduates!$B$2:$B$301,$B264)-1))</f>
        <v>11.27685063612001</v>
      </c>
      <c r="F264" s="45">
        <f t="shared" si="8"/>
        <v>-0.71393240459546758</v>
      </c>
      <c r="G264" s="44">
        <f t="shared" si="9"/>
        <v>-0.71393240459546758</v>
      </c>
      <c r="H264" s="44"/>
      <c r="I264" s="44"/>
      <c r="J264" s="44"/>
    </row>
    <row r="265" spans="1:10" ht="15" customHeight="1" x14ac:dyDescent="0.3">
      <c r="A265" s="44" t="s">
        <v>284</v>
      </c>
      <c r="B265" s="44" t="s">
        <v>269</v>
      </c>
      <c r="C265" s="45">
        <v>75.900000000000006</v>
      </c>
      <c r="D265" s="45">
        <f>AVERAGEIF(graduates!$B$2:$B$301,$B265,graduates!$C$2:$C$301)</f>
        <v>71.350909090909084</v>
      </c>
      <c r="E265" s="45">
        <f>SQRT(SUMPRODUCT((graduates!$B$2:$B$301=$B265)*(graduates!$C$2:$C$301-D265)^2)/(COUNTIF(graduates!$B$2:$B$301,$B265)-1))</f>
        <v>11.27685063612001</v>
      </c>
      <c r="F265" s="45">
        <f t="shared" si="8"/>
        <v>0.40340083023890372</v>
      </c>
      <c r="G265" s="44">
        <f t="shared" si="9"/>
        <v>0.40340083023890372</v>
      </c>
      <c r="H265" s="44"/>
      <c r="I265" s="44"/>
      <c r="J265" s="44"/>
    </row>
    <row r="266" spans="1:10" ht="15" customHeight="1" x14ac:dyDescent="0.3">
      <c r="A266" s="44" t="s">
        <v>285</v>
      </c>
      <c r="B266" s="44" t="s">
        <v>269</v>
      </c>
      <c r="C266" s="45">
        <v>74.900000000000006</v>
      </c>
      <c r="D266" s="45">
        <f>AVERAGEIF(graduates!$B$2:$B$301,$B266,graduates!$C$2:$C$301)</f>
        <v>71.350909090909084</v>
      </c>
      <c r="E266" s="45">
        <f>SQRT(SUMPRODUCT((graduates!$B$2:$B$301=$B266)*(graduates!$C$2:$C$301-D266)^2)/(COUNTIF(graduates!$B$2:$B$301,$B266)-1))</f>
        <v>11.27685063612001</v>
      </c>
      <c r="F266" s="45">
        <f t="shared" si="8"/>
        <v>0.31472358937903305</v>
      </c>
      <c r="G266" s="44">
        <f t="shared" si="9"/>
        <v>0.31472358937903305</v>
      </c>
      <c r="H266" s="44"/>
      <c r="I266" s="44"/>
      <c r="J266" s="44"/>
    </row>
    <row r="267" spans="1:10" ht="15" customHeight="1" x14ac:dyDescent="0.3">
      <c r="A267" s="44" t="s">
        <v>286</v>
      </c>
      <c r="B267" s="44" t="s">
        <v>269</v>
      </c>
      <c r="C267" s="45">
        <v>98</v>
      </c>
      <c r="D267" s="45">
        <f>AVERAGEIF(graduates!$B$2:$B$301,$B267,graduates!$C$2:$C$301)</f>
        <v>71.350909090909084</v>
      </c>
      <c r="E267" s="45">
        <f>SQRT(SUMPRODUCT((graduates!$B$2:$B$301=$B267)*(graduates!$C$2:$C$301-D267)^2)/(COUNTIF(graduates!$B$2:$B$301,$B267)-1))</f>
        <v>11.27685063612001</v>
      </c>
      <c r="F267" s="45">
        <f t="shared" si="8"/>
        <v>2.3631678532420453</v>
      </c>
      <c r="G267" s="44">
        <f t="shared" si="9"/>
        <v>2.3631678532420453</v>
      </c>
      <c r="H267" s="44"/>
      <c r="I267" s="44"/>
      <c r="J267" s="44"/>
    </row>
    <row r="268" spans="1:10" ht="15" customHeight="1" x14ac:dyDescent="0.3">
      <c r="A268" s="44" t="s">
        <v>287</v>
      </c>
      <c r="B268" s="44" t="s">
        <v>269</v>
      </c>
      <c r="C268" s="45">
        <v>65.400000000000006</v>
      </c>
      <c r="D268" s="45">
        <f>AVERAGEIF(graduates!$B$2:$B$301,$B268,graduates!$C$2:$C$301)</f>
        <v>71.350909090909084</v>
      </c>
      <c r="E268" s="45">
        <f>SQRT(SUMPRODUCT((graduates!$B$2:$B$301=$B268)*(graduates!$C$2:$C$301-D268)^2)/(COUNTIF(graduates!$B$2:$B$301,$B268)-1))</f>
        <v>11.27685063612001</v>
      </c>
      <c r="F268" s="45">
        <f t="shared" si="8"/>
        <v>-0.52771019878973846</v>
      </c>
      <c r="G268" s="44">
        <f t="shared" si="9"/>
        <v>-0.52771019878973846</v>
      </c>
      <c r="H268" s="44"/>
      <c r="I268" s="44"/>
      <c r="J268" s="44"/>
    </row>
    <row r="269" spans="1:10" ht="15" customHeight="1" x14ac:dyDescent="0.3">
      <c r="A269" s="44" t="s">
        <v>288</v>
      </c>
      <c r="B269" s="44" t="s">
        <v>269</v>
      </c>
      <c r="C269" s="45">
        <v>88.6</v>
      </c>
      <c r="D269" s="45">
        <f>AVERAGEIF(graduates!$B$2:$B$301,$B269,graduates!$C$2:$C$301)</f>
        <v>71.350909090909084</v>
      </c>
      <c r="E269" s="45">
        <f>SQRT(SUMPRODUCT((graduates!$B$2:$B$301=$B269)*(graduates!$C$2:$C$301-D269)^2)/(COUNTIF(graduates!$B$2:$B$301,$B269)-1))</f>
        <v>11.27685063612001</v>
      </c>
      <c r="F269" s="45">
        <f t="shared" si="8"/>
        <v>1.5296017891592604</v>
      </c>
      <c r="G269" s="44">
        <f t="shared" si="9"/>
        <v>1.5296017891592604</v>
      </c>
      <c r="H269" s="44"/>
      <c r="I269" s="44"/>
      <c r="J269" s="44"/>
    </row>
    <row r="270" spans="1:10" ht="15" customHeight="1" x14ac:dyDescent="0.3">
      <c r="A270" s="44" t="s">
        <v>289</v>
      </c>
      <c r="B270" s="44" t="s">
        <v>269</v>
      </c>
      <c r="C270" s="45">
        <v>53.4</v>
      </c>
      <c r="D270" s="45">
        <f>AVERAGEIF(graduates!$B$2:$B$301,$B270,graduates!$C$2:$C$301)</f>
        <v>71.350909090909084</v>
      </c>
      <c r="E270" s="45">
        <f>SQRT(SUMPRODUCT((graduates!$B$2:$B$301=$B270)*(graduates!$C$2:$C$301-D270)^2)/(COUNTIF(graduates!$B$2:$B$301,$B270)-1))</f>
        <v>11.27685063612001</v>
      </c>
      <c r="F270" s="45">
        <f t="shared" si="8"/>
        <v>-1.5918370891081872</v>
      </c>
      <c r="G270" s="44">
        <f t="shared" si="9"/>
        <v>-1.5918370891081872</v>
      </c>
      <c r="H270" s="44"/>
      <c r="I270" s="44"/>
      <c r="J270" s="44"/>
    </row>
    <row r="271" spans="1:10" ht="15" customHeight="1" x14ac:dyDescent="0.3">
      <c r="A271" s="44" t="s">
        <v>290</v>
      </c>
      <c r="B271" s="44" t="s">
        <v>269</v>
      </c>
      <c r="C271" s="45">
        <v>70.099999999999994</v>
      </c>
      <c r="D271" s="45">
        <f>AVERAGEIF(graduates!$B$2:$B$301,$B271,graduates!$C$2:$C$301)</f>
        <v>71.350909090909084</v>
      </c>
      <c r="E271" s="45">
        <f>SQRT(SUMPRODUCT((graduates!$B$2:$B$301=$B271)*(graduates!$C$2:$C$301-D271)^2)/(COUNTIF(graduates!$B$2:$B$301,$B271)-1))</f>
        <v>11.27685063612001</v>
      </c>
      <c r="F271" s="45">
        <f t="shared" si="8"/>
        <v>-0.11092716674834725</v>
      </c>
      <c r="G271" s="44">
        <f t="shared" si="9"/>
        <v>-0.11092716674834725</v>
      </c>
      <c r="H271" s="44"/>
      <c r="I271" s="44"/>
      <c r="J271" s="44"/>
    </row>
    <row r="272" spans="1:10" ht="15" customHeight="1" x14ac:dyDescent="0.3">
      <c r="A272" s="44" t="s">
        <v>291</v>
      </c>
      <c r="B272" s="44" t="s">
        <v>269</v>
      </c>
      <c r="C272" s="45">
        <v>58.7</v>
      </c>
      <c r="D272" s="45">
        <f>AVERAGEIF(graduates!$B$2:$B$301,$B272,graduates!$C$2:$C$301)</f>
        <v>71.350909090909084</v>
      </c>
      <c r="E272" s="45">
        <f>SQRT(SUMPRODUCT((graduates!$B$2:$B$301=$B272)*(graduates!$C$2:$C$301-D272)^2)/(COUNTIF(graduates!$B$2:$B$301,$B272)-1))</f>
        <v>11.27685063612001</v>
      </c>
      <c r="F272" s="45">
        <f t="shared" si="8"/>
        <v>-1.1218477125508723</v>
      </c>
      <c r="G272" s="44">
        <f t="shared" si="9"/>
        <v>-1.1218477125508723</v>
      </c>
      <c r="H272" s="44"/>
      <c r="I272" s="44"/>
      <c r="J272" s="44"/>
    </row>
    <row r="273" spans="1:10" ht="15" customHeight="1" x14ac:dyDescent="0.3">
      <c r="A273" s="44" t="s">
        <v>292</v>
      </c>
      <c r="B273" s="44" t="s">
        <v>269</v>
      </c>
      <c r="C273" s="45">
        <v>78.7</v>
      </c>
      <c r="D273" s="45">
        <f>AVERAGEIF(graduates!$B$2:$B$301,$B273,graduates!$C$2:$C$301)</f>
        <v>71.350909090909084</v>
      </c>
      <c r="E273" s="45">
        <f>SQRT(SUMPRODUCT((graduates!$B$2:$B$301=$B273)*(graduates!$C$2:$C$301-D273)^2)/(COUNTIF(graduates!$B$2:$B$301,$B273)-1))</f>
        <v>11.27685063612001</v>
      </c>
      <c r="F273" s="45">
        <f t="shared" si="8"/>
        <v>0.6516971046465414</v>
      </c>
      <c r="G273" s="44">
        <f t="shared" si="9"/>
        <v>0.6516971046465414</v>
      </c>
      <c r="H273" s="44"/>
      <c r="I273" s="44"/>
      <c r="J273" s="44"/>
    </row>
    <row r="274" spans="1:10" ht="15" customHeight="1" x14ac:dyDescent="0.3">
      <c r="A274" s="44" t="s">
        <v>293</v>
      </c>
      <c r="B274" s="44" t="s">
        <v>269</v>
      </c>
      <c r="C274" s="45">
        <v>75.400000000000006</v>
      </c>
      <c r="D274" s="45">
        <f>AVERAGEIF(graduates!$B$2:$B$301,$B274,graduates!$C$2:$C$301)</f>
        <v>71.350909090909084</v>
      </c>
      <c r="E274" s="45">
        <f>SQRT(SUMPRODUCT((graduates!$B$2:$B$301=$B274)*(graduates!$C$2:$C$301-D274)^2)/(COUNTIF(graduates!$B$2:$B$301,$B274)-1))</f>
        <v>11.27685063612001</v>
      </c>
      <c r="F274" s="45">
        <f t="shared" si="8"/>
        <v>0.35906220980896836</v>
      </c>
      <c r="G274" s="44">
        <f t="shared" si="9"/>
        <v>0.35906220980896836</v>
      </c>
      <c r="H274" s="44"/>
      <c r="I274" s="44"/>
      <c r="J274" s="44"/>
    </row>
    <row r="275" spans="1:10" ht="15" customHeight="1" x14ac:dyDescent="0.3">
      <c r="A275" s="44" t="s">
        <v>294</v>
      </c>
      <c r="B275" s="44" t="s">
        <v>269</v>
      </c>
      <c r="C275" s="45">
        <v>81.3</v>
      </c>
      <c r="D275" s="45">
        <f>AVERAGEIF(graduates!$B$2:$B$301,$B275,graduates!$C$2:$C$301)</f>
        <v>71.350909090909084</v>
      </c>
      <c r="E275" s="45">
        <f>SQRT(SUMPRODUCT((graduates!$B$2:$B$301=$B275)*(graduates!$C$2:$C$301-D275)^2)/(COUNTIF(graduates!$B$2:$B$301,$B275)-1))</f>
        <v>11.27685063612001</v>
      </c>
      <c r="F275" s="45">
        <f t="shared" si="8"/>
        <v>0.88225793088220461</v>
      </c>
      <c r="G275" s="44">
        <f t="shared" si="9"/>
        <v>0.88225793088220461</v>
      </c>
      <c r="H275" s="44"/>
      <c r="I275" s="44"/>
      <c r="J275" s="44"/>
    </row>
    <row r="276" spans="1:10" ht="15" customHeight="1" x14ac:dyDescent="0.3">
      <c r="A276" s="44" t="s">
        <v>295</v>
      </c>
      <c r="B276" s="44" t="s">
        <v>269</v>
      </c>
      <c r="C276" s="45">
        <v>70.3</v>
      </c>
      <c r="D276" s="45">
        <f>AVERAGEIF(graduates!$B$2:$B$301,$B276,graduates!$C$2:$C$301)</f>
        <v>71.350909090909084</v>
      </c>
      <c r="E276" s="45">
        <f>SQRT(SUMPRODUCT((graduates!$B$2:$B$301=$B276)*(graduates!$C$2:$C$301-D276)^2)/(COUNTIF(graduates!$B$2:$B$301,$B276)-1))</f>
        <v>11.27685063612001</v>
      </c>
      <c r="F276" s="45">
        <f t="shared" si="8"/>
        <v>-9.3191718576372859E-2</v>
      </c>
      <c r="G276" s="44">
        <f t="shared" si="9"/>
        <v>-9.3191718576372859E-2</v>
      </c>
      <c r="H276" s="44"/>
      <c r="I276" s="44"/>
      <c r="J276" s="44"/>
    </row>
    <row r="277" spans="1:10" ht="15" customHeight="1" x14ac:dyDescent="0.3">
      <c r="A277" s="44" t="s">
        <v>296</v>
      </c>
      <c r="B277" s="44" t="s">
        <v>269</v>
      </c>
      <c r="C277" s="45">
        <v>72.5</v>
      </c>
      <c r="D277" s="45">
        <f>AVERAGEIF(graduates!$B$2:$B$301,$B277,graduates!$C$2:$C$301)</f>
        <v>71.350909090909084</v>
      </c>
      <c r="E277" s="45">
        <f>SQRT(SUMPRODUCT((graduates!$B$2:$B$301=$B277)*(graduates!$C$2:$C$301-D277)^2)/(COUNTIF(graduates!$B$2:$B$301,$B277)-1))</f>
        <v>11.27685063612001</v>
      </c>
      <c r="F277" s="45">
        <f t="shared" si="8"/>
        <v>0.10189821131534289</v>
      </c>
      <c r="G277" s="44">
        <f t="shared" si="9"/>
        <v>0.10189821131534289</v>
      </c>
      <c r="H277" s="44"/>
      <c r="I277" s="44"/>
      <c r="J277" s="44"/>
    </row>
    <row r="278" spans="1:10" ht="15" customHeight="1" x14ac:dyDescent="0.3">
      <c r="A278" s="44" t="s">
        <v>297</v>
      </c>
      <c r="B278" s="44" t="s">
        <v>269</v>
      </c>
      <c r="C278" s="45">
        <v>64.400000000000006</v>
      </c>
      <c r="D278" s="45">
        <f>AVERAGEIF(graduates!$B$2:$B$301,$B278,graduates!$C$2:$C$301)</f>
        <v>71.350909090909084</v>
      </c>
      <c r="E278" s="45">
        <f>SQRT(SUMPRODUCT((graduates!$B$2:$B$301=$B278)*(graduates!$C$2:$C$301-D278)^2)/(COUNTIF(graduates!$B$2:$B$301,$B278)-1))</f>
        <v>11.27685063612001</v>
      </c>
      <c r="F278" s="45">
        <f t="shared" si="8"/>
        <v>-0.61638743964960918</v>
      </c>
      <c r="G278" s="44">
        <f t="shared" si="9"/>
        <v>-0.61638743964960918</v>
      </c>
      <c r="H278" s="44"/>
      <c r="I278" s="44"/>
      <c r="J278" s="44"/>
    </row>
    <row r="279" spans="1:10" ht="15" customHeight="1" x14ac:dyDescent="0.3">
      <c r="A279" s="44" t="s">
        <v>298</v>
      </c>
      <c r="B279" s="44" t="s">
        <v>269</v>
      </c>
      <c r="C279" s="45">
        <v>63.8</v>
      </c>
      <c r="D279" s="45">
        <f>AVERAGEIF(graduates!$B$2:$B$301,$B279,graduates!$C$2:$C$301)</f>
        <v>71.350909090909084</v>
      </c>
      <c r="E279" s="45">
        <f>SQRT(SUMPRODUCT((graduates!$B$2:$B$301=$B279)*(graduates!$C$2:$C$301-D279)^2)/(COUNTIF(graduates!$B$2:$B$301,$B279)-1))</f>
        <v>11.27685063612001</v>
      </c>
      <c r="F279" s="45">
        <f t="shared" si="8"/>
        <v>-0.66959378416553228</v>
      </c>
      <c r="G279" s="44">
        <f t="shared" si="9"/>
        <v>-0.66959378416553228</v>
      </c>
      <c r="H279" s="44"/>
      <c r="I279" s="44"/>
      <c r="J279" s="44"/>
    </row>
    <row r="280" spans="1:10" ht="15" customHeight="1" x14ac:dyDescent="0.3">
      <c r="A280" s="44" t="s">
        <v>299</v>
      </c>
      <c r="B280" s="44" t="s">
        <v>269</v>
      </c>
      <c r="C280" s="45">
        <v>89.2</v>
      </c>
      <c r="D280" s="45">
        <f>AVERAGEIF(graduates!$B$2:$B$301,$B280,graduates!$C$2:$C$301)</f>
        <v>71.350909090909084</v>
      </c>
      <c r="E280" s="45">
        <f>SQRT(SUMPRODUCT((graduates!$B$2:$B$301=$B280)*(graduates!$C$2:$C$301-D280)^2)/(COUNTIF(graduates!$B$2:$B$301,$B280)-1))</f>
        <v>11.27685063612001</v>
      </c>
      <c r="F280" s="45">
        <f t="shared" si="8"/>
        <v>1.5828081336751836</v>
      </c>
      <c r="G280" s="44">
        <f t="shared" si="9"/>
        <v>1.5828081336751836</v>
      </c>
      <c r="H280" s="44"/>
      <c r="I280" s="44"/>
      <c r="J280" s="44"/>
    </row>
    <row r="281" spans="1:10" ht="15" customHeight="1" x14ac:dyDescent="0.3">
      <c r="A281" s="44" t="s">
        <v>300</v>
      </c>
      <c r="B281" s="44" t="s">
        <v>269</v>
      </c>
      <c r="C281" s="45">
        <v>73.5</v>
      </c>
      <c r="D281" s="45">
        <f>AVERAGEIF(graduates!$B$2:$B$301,$B281,graduates!$C$2:$C$301)</f>
        <v>71.350909090909084</v>
      </c>
      <c r="E281" s="45">
        <f>SQRT(SUMPRODUCT((graduates!$B$2:$B$301=$B281)*(graduates!$C$2:$C$301-D281)^2)/(COUNTIF(graduates!$B$2:$B$301,$B281)-1))</f>
        <v>11.27685063612001</v>
      </c>
      <c r="F281" s="45">
        <f t="shared" si="8"/>
        <v>0.19057545217521357</v>
      </c>
      <c r="G281" s="44">
        <f t="shared" si="9"/>
        <v>0.19057545217521357</v>
      </c>
      <c r="H281" s="44"/>
      <c r="I281" s="44"/>
      <c r="J281" s="44"/>
    </row>
    <row r="282" spans="1:10" ht="15" customHeight="1" x14ac:dyDescent="0.3">
      <c r="A282" s="44" t="s">
        <v>301</v>
      </c>
      <c r="B282" s="44" t="s">
        <v>269</v>
      </c>
      <c r="C282" s="45">
        <v>65.599999999999994</v>
      </c>
      <c r="D282" s="45">
        <f>AVERAGEIF(graduates!$B$2:$B$301,$B282,graduates!$C$2:$C$301)</f>
        <v>71.350909090909084</v>
      </c>
      <c r="E282" s="45">
        <f>SQRT(SUMPRODUCT((graduates!$B$2:$B$301=$B282)*(graduates!$C$2:$C$301-D282)^2)/(COUNTIF(graduates!$B$2:$B$301,$B282)-1))</f>
        <v>11.27685063612001</v>
      </c>
      <c r="F282" s="45">
        <f t="shared" si="8"/>
        <v>-0.50997475061776532</v>
      </c>
      <c r="G282" s="44">
        <f t="shared" si="9"/>
        <v>-0.50997475061776532</v>
      </c>
      <c r="H282" s="44"/>
      <c r="I282" s="44"/>
      <c r="J282" s="44"/>
    </row>
    <row r="283" spans="1:10" ht="15" customHeight="1" x14ac:dyDescent="0.3">
      <c r="A283" s="44" t="s">
        <v>302</v>
      </c>
      <c r="B283" s="44" t="s">
        <v>269</v>
      </c>
      <c r="C283" s="45">
        <v>62.9</v>
      </c>
      <c r="D283" s="45">
        <f>AVERAGEIF(graduates!$B$2:$B$301,$B283,graduates!$C$2:$C$301)</f>
        <v>71.350909090909084</v>
      </c>
      <c r="E283" s="45">
        <f>SQRT(SUMPRODUCT((graduates!$B$2:$B$301=$B283)*(graduates!$C$2:$C$301-D283)^2)/(COUNTIF(graduates!$B$2:$B$301,$B283)-1))</f>
        <v>11.27685063612001</v>
      </c>
      <c r="F283" s="45">
        <f t="shared" si="8"/>
        <v>-0.74940330093941576</v>
      </c>
      <c r="G283" s="44">
        <f t="shared" si="9"/>
        <v>-0.74940330093941576</v>
      </c>
      <c r="H283" s="44"/>
      <c r="I283" s="44"/>
      <c r="J283" s="44"/>
    </row>
    <row r="284" spans="1:10" ht="15" customHeight="1" x14ac:dyDescent="0.3">
      <c r="A284" s="44" t="s">
        <v>303</v>
      </c>
      <c r="B284" s="44" t="s">
        <v>269</v>
      </c>
      <c r="C284" s="45">
        <v>71.599999999999994</v>
      </c>
      <c r="D284" s="45">
        <f>AVERAGEIF(graduates!$B$2:$B$301,$B284,graduates!$C$2:$C$301)</f>
        <v>71.350909090909084</v>
      </c>
      <c r="E284" s="45">
        <f>SQRT(SUMPRODUCT((graduates!$B$2:$B$301=$B284)*(graduates!$C$2:$C$301-D284)^2)/(COUNTIF(graduates!$B$2:$B$301,$B284)-1))</f>
        <v>11.27685063612001</v>
      </c>
      <c r="F284" s="45">
        <f t="shared" si="8"/>
        <v>2.2088694541458769E-2</v>
      </c>
      <c r="G284" s="44">
        <f t="shared" si="9"/>
        <v>2.2088694541458769E-2</v>
      </c>
      <c r="H284" s="44"/>
      <c r="I284" s="44"/>
      <c r="J284" s="44"/>
    </row>
    <row r="285" spans="1:10" ht="15" customHeight="1" x14ac:dyDescent="0.3">
      <c r="A285" s="44" t="s">
        <v>304</v>
      </c>
      <c r="B285" s="44" t="s">
        <v>269</v>
      </c>
      <c r="C285" s="45">
        <v>48.5</v>
      </c>
      <c r="D285" s="45">
        <f>AVERAGEIF(graduates!$B$2:$B$301,$B285,graduates!$C$2:$C$301)</f>
        <v>71.350909090909084</v>
      </c>
      <c r="E285" s="45">
        <f>SQRT(SUMPRODUCT((graduates!$B$2:$B$301=$B285)*(graduates!$C$2:$C$301-D285)^2)/(COUNTIF(graduates!$B$2:$B$301,$B285)-1))</f>
        <v>11.27685063612001</v>
      </c>
      <c r="F285" s="45">
        <f t="shared" si="8"/>
        <v>-2.0263555693215536</v>
      </c>
      <c r="G285" s="44">
        <f t="shared" si="9"/>
        <v>-2.0263555693215536</v>
      </c>
      <c r="H285" s="44"/>
      <c r="I285" s="44"/>
      <c r="J285" s="44"/>
    </row>
    <row r="286" spans="1:10" ht="15" customHeight="1" x14ac:dyDescent="0.3">
      <c r="A286" s="44" t="s">
        <v>305</v>
      </c>
      <c r="B286" s="44" t="s">
        <v>269</v>
      </c>
      <c r="C286" s="45">
        <v>61.6</v>
      </c>
      <c r="D286" s="45">
        <f>AVERAGEIF(graduates!$B$2:$B$301,$B286,graduates!$C$2:$C$301)</f>
        <v>71.350909090909084</v>
      </c>
      <c r="E286" s="45">
        <f>SQRT(SUMPRODUCT((graduates!$B$2:$B$301=$B286)*(graduates!$C$2:$C$301-D286)^2)/(COUNTIF(graduates!$B$2:$B$301,$B286)-1))</f>
        <v>11.27685063612001</v>
      </c>
      <c r="F286" s="45">
        <f t="shared" si="8"/>
        <v>-0.86468371405724742</v>
      </c>
      <c r="G286" s="44">
        <f t="shared" si="9"/>
        <v>-0.86468371405724742</v>
      </c>
      <c r="H286" s="44"/>
      <c r="I286" s="44"/>
      <c r="J286" s="44"/>
    </row>
    <row r="287" spans="1:10" ht="15" customHeight="1" x14ac:dyDescent="0.3">
      <c r="A287" s="44" t="s">
        <v>306</v>
      </c>
      <c r="B287" s="44" t="s">
        <v>269</v>
      </c>
      <c r="C287" s="45">
        <v>81.2</v>
      </c>
      <c r="D287" s="45">
        <f>AVERAGEIF(graduates!$B$2:$B$301,$B287,graduates!$C$2:$C$301)</f>
        <v>71.350909090909084</v>
      </c>
      <c r="E287" s="45">
        <f>SQRT(SUMPRODUCT((graduates!$B$2:$B$301=$B287)*(graduates!$C$2:$C$301-D287)^2)/(COUNTIF(graduates!$B$2:$B$301,$B287)-1))</f>
        <v>11.27685063612001</v>
      </c>
      <c r="F287" s="45">
        <f t="shared" si="8"/>
        <v>0.87339020679621804</v>
      </c>
      <c r="G287" s="44">
        <f t="shared" si="9"/>
        <v>0.87339020679621804</v>
      </c>
      <c r="H287" s="44"/>
      <c r="I287" s="44"/>
      <c r="J287" s="44"/>
    </row>
    <row r="288" spans="1:10" ht="15" customHeight="1" x14ac:dyDescent="0.3">
      <c r="A288" s="44" t="s">
        <v>307</v>
      </c>
      <c r="B288" s="44" t="s">
        <v>269</v>
      </c>
      <c r="C288" s="45">
        <v>67.5</v>
      </c>
      <c r="D288" s="45">
        <f>AVERAGEIF(graduates!$B$2:$B$301,$B288,graduates!$C$2:$C$301)</f>
        <v>71.350909090909084</v>
      </c>
      <c r="E288" s="45">
        <f>SQRT(SUMPRODUCT((graduates!$B$2:$B$301=$B288)*(graduates!$C$2:$C$301-D288)^2)/(COUNTIF(graduates!$B$2:$B$301,$B288)-1))</f>
        <v>11.27685063612001</v>
      </c>
      <c r="F288" s="45">
        <f t="shared" si="8"/>
        <v>-0.3414879929840105</v>
      </c>
      <c r="G288" s="44">
        <f t="shared" si="9"/>
        <v>-0.3414879929840105</v>
      </c>
      <c r="H288" s="44"/>
      <c r="I288" s="44"/>
      <c r="J288" s="44"/>
    </row>
    <row r="289" spans="1:10" ht="15" customHeight="1" x14ac:dyDescent="0.3">
      <c r="A289" s="44" t="s">
        <v>308</v>
      </c>
      <c r="B289" s="44" t="s">
        <v>269</v>
      </c>
      <c r="C289" s="45">
        <v>83.1</v>
      </c>
      <c r="D289" s="45">
        <f>AVERAGEIF(graduates!$B$2:$B$301,$B289,graduates!$C$2:$C$301)</f>
        <v>71.350909090909084</v>
      </c>
      <c r="E289" s="45">
        <f>SQRT(SUMPRODUCT((graduates!$B$2:$B$301=$B289)*(graduates!$C$2:$C$301-D289)^2)/(COUNTIF(graduates!$B$2:$B$301,$B289)-1))</f>
        <v>11.27685063612001</v>
      </c>
      <c r="F289" s="45">
        <f t="shared" si="8"/>
        <v>1.0418769644299717</v>
      </c>
      <c r="G289" s="44">
        <f t="shared" si="9"/>
        <v>1.0418769644299717</v>
      </c>
      <c r="H289" s="44"/>
      <c r="I289" s="44"/>
      <c r="J289" s="44"/>
    </row>
    <row r="290" spans="1:10" ht="15" customHeight="1" x14ac:dyDescent="0.3">
      <c r="A290" s="44" t="s">
        <v>309</v>
      </c>
      <c r="B290" s="44" t="s">
        <v>269</v>
      </c>
      <c r="C290" s="45">
        <v>67.599999999999994</v>
      </c>
      <c r="D290" s="45">
        <f>AVERAGEIF(graduates!$B$2:$B$301,$B290,graduates!$C$2:$C$301)</f>
        <v>71.350909090909084</v>
      </c>
      <c r="E290" s="45">
        <f>SQRT(SUMPRODUCT((graduates!$B$2:$B$301=$B290)*(graduates!$C$2:$C$301-D290)^2)/(COUNTIF(graduates!$B$2:$B$301,$B290)-1))</f>
        <v>11.27685063612001</v>
      </c>
      <c r="F290" s="45">
        <f t="shared" si="8"/>
        <v>-0.33262026889802393</v>
      </c>
      <c r="G290" s="44">
        <f t="shared" si="9"/>
        <v>-0.33262026889802393</v>
      </c>
      <c r="H290" s="44"/>
      <c r="I290" s="44"/>
      <c r="J290" s="44"/>
    </row>
    <row r="291" spans="1:10" ht="15" customHeight="1" x14ac:dyDescent="0.3">
      <c r="A291" s="44" t="s">
        <v>310</v>
      </c>
      <c r="B291" s="44" t="s">
        <v>269</v>
      </c>
      <c r="C291" s="45">
        <v>73.599999999999994</v>
      </c>
      <c r="D291" s="45">
        <f>AVERAGEIF(graduates!$B$2:$B$301,$B291,graduates!$C$2:$C$301)</f>
        <v>71.350909090909084</v>
      </c>
      <c r="E291" s="45">
        <f>SQRT(SUMPRODUCT((graduates!$B$2:$B$301=$B291)*(graduates!$C$2:$C$301-D291)^2)/(COUNTIF(graduates!$B$2:$B$301,$B291)-1))</f>
        <v>11.27685063612001</v>
      </c>
      <c r="F291" s="45">
        <f t="shared" si="8"/>
        <v>0.19944317626120014</v>
      </c>
      <c r="G291" s="44">
        <f t="shared" si="9"/>
        <v>0.19944317626120014</v>
      </c>
      <c r="H291" s="44"/>
      <c r="I291" s="44"/>
      <c r="J291" s="44"/>
    </row>
    <row r="292" spans="1:10" ht="15" customHeight="1" x14ac:dyDescent="0.3">
      <c r="A292" s="44" t="s">
        <v>311</v>
      </c>
      <c r="B292" s="44" t="s">
        <v>269</v>
      </c>
      <c r="C292" s="45">
        <v>76.900000000000006</v>
      </c>
      <c r="D292" s="45">
        <f>AVERAGEIF(graduates!$B$2:$B$301,$B292,graduates!$C$2:$C$301)</f>
        <v>71.350909090909084</v>
      </c>
      <c r="E292" s="45">
        <f>SQRT(SUMPRODUCT((graduates!$B$2:$B$301=$B292)*(graduates!$C$2:$C$301-D292)^2)/(COUNTIF(graduates!$B$2:$B$301,$B292)-1))</f>
        <v>11.27685063612001</v>
      </c>
      <c r="F292" s="45">
        <f t="shared" si="8"/>
        <v>0.49207807109877438</v>
      </c>
      <c r="G292" s="44">
        <f t="shared" si="9"/>
        <v>0.49207807109877438</v>
      </c>
      <c r="H292" s="44"/>
      <c r="I292" s="44"/>
      <c r="J292" s="44"/>
    </row>
    <row r="293" spans="1:10" ht="15" customHeight="1" x14ac:dyDescent="0.3">
      <c r="A293" s="44" t="s">
        <v>312</v>
      </c>
      <c r="B293" s="44" t="s">
        <v>269</v>
      </c>
      <c r="C293" s="45">
        <v>46.8</v>
      </c>
      <c r="D293" s="45">
        <f>AVERAGEIF(graduates!$B$2:$B$301,$B293,graduates!$C$2:$C$301)</f>
        <v>71.350909090909084</v>
      </c>
      <c r="E293" s="45">
        <f>SQRT(SUMPRODUCT((graduates!$B$2:$B$301=$B293)*(graduates!$C$2:$C$301-D293)^2)/(COUNTIF(graduates!$B$2:$B$301,$B293)-1))</f>
        <v>11.27685063612001</v>
      </c>
      <c r="F293" s="45">
        <f t="shared" si="8"/>
        <v>-2.1771068787833339</v>
      </c>
      <c r="G293" s="44">
        <f t="shared" si="9"/>
        <v>-2.1771068787833339</v>
      </c>
      <c r="H293" s="44"/>
      <c r="I293" s="44"/>
      <c r="J293" s="44"/>
    </row>
    <row r="294" spans="1:10" ht="15" customHeight="1" x14ac:dyDescent="0.3">
      <c r="A294" s="44" t="s">
        <v>313</v>
      </c>
      <c r="B294" s="44" t="s">
        <v>269</v>
      </c>
      <c r="C294" s="45">
        <v>64.2</v>
      </c>
      <c r="D294" s="45">
        <f>AVERAGEIF(graduates!$B$2:$B$301,$B294,graduates!$C$2:$C$301)</f>
        <v>71.350909090909084</v>
      </c>
      <c r="E294" s="45">
        <f>SQRT(SUMPRODUCT((graduates!$B$2:$B$301=$B294)*(graduates!$C$2:$C$301-D294)^2)/(COUNTIF(graduates!$B$2:$B$301,$B294)-1))</f>
        <v>11.27685063612001</v>
      </c>
      <c r="F294" s="45">
        <f t="shared" si="8"/>
        <v>-0.63412288782158355</v>
      </c>
      <c r="G294" s="44">
        <f t="shared" si="9"/>
        <v>-0.63412288782158355</v>
      </c>
      <c r="H294" s="44"/>
      <c r="I294" s="44"/>
      <c r="J294" s="44"/>
    </row>
    <row r="295" spans="1:10" ht="15" customHeight="1" x14ac:dyDescent="0.3">
      <c r="A295" s="44" t="s">
        <v>314</v>
      </c>
      <c r="B295" s="44" t="s">
        <v>269</v>
      </c>
      <c r="C295" s="45">
        <v>84.6</v>
      </c>
      <c r="D295" s="45">
        <f>AVERAGEIF(graduates!$B$2:$B$301,$B295,graduates!$C$2:$C$301)</f>
        <v>71.350909090909084</v>
      </c>
      <c r="E295" s="45">
        <f>SQRT(SUMPRODUCT((graduates!$B$2:$B$301=$B295)*(graduates!$C$2:$C$301-D295)^2)/(COUNTIF(graduates!$B$2:$B$301,$B295)-1))</f>
        <v>11.27685063612001</v>
      </c>
      <c r="F295" s="45">
        <f t="shared" si="8"/>
        <v>1.1748928257197777</v>
      </c>
      <c r="G295" s="44">
        <f t="shared" si="9"/>
        <v>1.1748928257197777</v>
      </c>
      <c r="H295" s="44"/>
      <c r="I295" s="44"/>
      <c r="J295" s="44"/>
    </row>
    <row r="296" spans="1:10" ht="15" customHeight="1" x14ac:dyDescent="0.3">
      <c r="A296" s="44" t="s">
        <v>315</v>
      </c>
      <c r="B296" s="44" t="s">
        <v>269</v>
      </c>
      <c r="C296" s="45">
        <v>79.8</v>
      </c>
      <c r="D296" s="45">
        <f>AVERAGEIF(graduates!$B$2:$B$301,$B296,graduates!$C$2:$C$301)</f>
        <v>71.350909090909084</v>
      </c>
      <c r="E296" s="45">
        <f>SQRT(SUMPRODUCT((graduates!$B$2:$B$301=$B296)*(graduates!$C$2:$C$301-D296)^2)/(COUNTIF(graduates!$B$2:$B$301,$B296)-1))</f>
        <v>11.27685063612001</v>
      </c>
      <c r="F296" s="45">
        <f t="shared" si="8"/>
        <v>0.74924206959239859</v>
      </c>
      <c r="G296" s="44">
        <f t="shared" si="9"/>
        <v>0.74924206959239859</v>
      </c>
      <c r="H296" s="44"/>
      <c r="I296" s="44"/>
      <c r="J296" s="44"/>
    </row>
    <row r="297" spans="1:10" ht="15" customHeight="1" x14ac:dyDescent="0.3">
      <c r="A297" s="44" t="s">
        <v>316</v>
      </c>
      <c r="B297" s="44" t="s">
        <v>269</v>
      </c>
      <c r="C297" s="45">
        <v>75.099999999999994</v>
      </c>
      <c r="D297" s="45">
        <f>AVERAGEIF(graduates!$B$2:$B$301,$B297,graduates!$C$2:$C$301)</f>
        <v>71.350909090909084</v>
      </c>
      <c r="E297" s="45">
        <f>SQRT(SUMPRODUCT((graduates!$B$2:$B$301=$B297)*(graduates!$C$2:$C$301-D297)^2)/(COUNTIF(graduates!$B$2:$B$301,$B297)-1))</f>
        <v>11.27685063612001</v>
      </c>
      <c r="F297" s="45">
        <f t="shared" si="8"/>
        <v>0.33245903755100614</v>
      </c>
      <c r="G297" s="44">
        <f t="shared" si="9"/>
        <v>0.33245903755100614</v>
      </c>
      <c r="H297" s="44"/>
      <c r="I297" s="44"/>
      <c r="J297" s="44"/>
    </row>
    <row r="298" spans="1:10" ht="15" customHeight="1" x14ac:dyDescent="0.3">
      <c r="A298" s="44" t="s">
        <v>317</v>
      </c>
      <c r="B298" s="44" t="s">
        <v>269</v>
      </c>
      <c r="C298" s="45">
        <v>97.4</v>
      </c>
      <c r="D298" s="45">
        <f>AVERAGEIF(graduates!$B$2:$B$301,$B298,graduates!$C$2:$C$301)</f>
        <v>71.350909090909084</v>
      </c>
      <c r="E298" s="45">
        <f>SQRT(SUMPRODUCT((graduates!$B$2:$B$301=$B298)*(graduates!$C$2:$C$301-D298)^2)/(COUNTIF(graduates!$B$2:$B$301,$B298)-1))</f>
        <v>11.27685063612001</v>
      </c>
      <c r="F298" s="45">
        <f t="shared" si="8"/>
        <v>2.3099615087261234</v>
      </c>
      <c r="G298" s="44">
        <f t="shared" si="9"/>
        <v>2.3099615087261234</v>
      </c>
      <c r="H298" s="44"/>
      <c r="I298" s="44"/>
      <c r="J298" s="44"/>
    </row>
    <row r="299" spans="1:10" ht="15" customHeight="1" x14ac:dyDescent="0.3">
      <c r="A299" s="44" t="s">
        <v>318</v>
      </c>
      <c r="B299" s="44" t="s">
        <v>269</v>
      </c>
      <c r="C299" s="45">
        <v>69.5</v>
      </c>
      <c r="D299" s="45">
        <f>AVERAGEIF(graduates!$B$2:$B$301,$B299,graduates!$C$2:$C$301)</f>
        <v>71.350909090909084</v>
      </c>
      <c r="E299" s="45">
        <f>SQRT(SUMPRODUCT((graduates!$B$2:$B$301=$B299)*(graduates!$C$2:$C$301-D299)^2)/(COUNTIF(graduates!$B$2:$B$301,$B299)-1))</f>
        <v>11.27685063612001</v>
      </c>
      <c r="F299" s="45">
        <f t="shared" si="8"/>
        <v>-0.16413351126426914</v>
      </c>
      <c r="G299" s="44">
        <f t="shared" si="9"/>
        <v>-0.16413351126426914</v>
      </c>
      <c r="H299" s="44"/>
      <c r="I299" s="44"/>
      <c r="J299" s="44"/>
    </row>
    <row r="300" spans="1:10" ht="15" customHeight="1" x14ac:dyDescent="0.3">
      <c r="A300" s="44" t="s">
        <v>319</v>
      </c>
      <c r="B300" s="44" t="s">
        <v>269</v>
      </c>
      <c r="C300" s="45">
        <v>59.8</v>
      </c>
      <c r="D300" s="45">
        <f>AVERAGEIF(graduates!$B$2:$B$301,$B300,graduates!$C$2:$C$301)</f>
        <v>71.350909090909084</v>
      </c>
      <c r="E300" s="45">
        <f>SQRT(SUMPRODUCT((graduates!$B$2:$B$301=$B300)*(graduates!$C$2:$C$301-D300)^2)/(COUNTIF(graduates!$B$2:$B$301,$B300)-1))</f>
        <v>11.27685063612001</v>
      </c>
      <c r="F300" s="45">
        <f t="shared" si="8"/>
        <v>-1.0243027476050151</v>
      </c>
      <c r="G300" s="44">
        <f t="shared" si="9"/>
        <v>-1.0243027476050151</v>
      </c>
      <c r="H300" s="44"/>
      <c r="I300" s="44"/>
      <c r="J300" s="44"/>
    </row>
    <row r="301" spans="1:10" ht="15" customHeight="1" x14ac:dyDescent="0.3">
      <c r="A301" s="44" t="s">
        <v>320</v>
      </c>
      <c r="B301" s="44" t="s">
        <v>269</v>
      </c>
      <c r="C301" s="45">
        <v>77.2</v>
      </c>
      <c r="D301" s="45">
        <f>AVERAGEIF(graduates!$B$2:$B$301,$B301,graduates!$C$2:$C$301)</f>
        <v>71.350909090909084</v>
      </c>
      <c r="E301" s="45">
        <f>SQRT(SUMPRODUCT((graduates!$B$2:$B$301=$B301)*(graduates!$C$2:$C$301-D301)^2)/(COUNTIF(graduates!$B$2:$B$301,$B301)-1))</f>
        <v>11.27685063612001</v>
      </c>
      <c r="F301" s="45">
        <f t="shared" si="8"/>
        <v>0.51868124335673538</v>
      </c>
      <c r="G301" s="44">
        <f t="shared" si="9"/>
        <v>0.51868124335673538</v>
      </c>
      <c r="H301" s="44"/>
      <c r="I301" s="44"/>
      <c r="J301" s="44"/>
    </row>
    <row r="302" spans="1:10" ht="15" customHeight="1" x14ac:dyDescent="0.3">
      <c r="A302" s="44" t="s">
        <v>321</v>
      </c>
      <c r="B302" s="44" t="s">
        <v>269</v>
      </c>
      <c r="C302" s="45">
        <v>76.2</v>
      </c>
      <c r="D302" s="45">
        <f>AVERAGEIF(graduates!$B$2:$B$301,$B302,graduates!$C$2:$C$301)</f>
        <v>71.350909090909084</v>
      </c>
      <c r="E302" s="45">
        <f>SQRT(SUMPRODUCT((graduates!$B$2:$B$301=$B302)*(graduates!$C$2:$C$301-D302)^2)/(COUNTIF(graduates!$B$2:$B$301,$B302)-1))</f>
        <v>11.27685063612001</v>
      </c>
      <c r="F302" s="45">
        <f t="shared" si="8"/>
        <v>0.43000400249686466</v>
      </c>
      <c r="G302" s="44">
        <f t="shared" si="9"/>
        <v>0.43000400249686466</v>
      </c>
      <c r="H302" s="44"/>
      <c r="I302" s="44"/>
      <c r="J302" s="44"/>
    </row>
    <row r="303" spans="1:10" ht="15" customHeight="1" x14ac:dyDescent="0.3">
      <c r="A303" s="44" t="s">
        <v>322</v>
      </c>
      <c r="B303" s="44" t="s">
        <v>269</v>
      </c>
      <c r="C303" s="45">
        <v>66.099999999999994</v>
      </c>
      <c r="D303" s="45">
        <f>AVERAGEIF(graduates!$B$2:$B$301,$B303,graduates!$C$2:$C$301)</f>
        <v>71.350909090909084</v>
      </c>
      <c r="E303" s="45">
        <f>SQRT(SUMPRODUCT((graduates!$B$2:$B$301=$B303)*(graduates!$C$2:$C$301-D303)^2)/(COUNTIF(graduates!$B$2:$B$301,$B303)-1))</f>
        <v>11.27685063612001</v>
      </c>
      <c r="F303" s="45">
        <f t="shared" si="8"/>
        <v>-0.46563613018782996</v>
      </c>
      <c r="G303" s="44">
        <f t="shared" si="9"/>
        <v>-0.46563613018782996</v>
      </c>
      <c r="H303" s="44"/>
      <c r="I303" s="44"/>
      <c r="J303" s="44"/>
    </row>
    <row r="304" spans="1:10" ht="15" customHeight="1" x14ac:dyDescent="0.3">
      <c r="A304" s="44" t="s">
        <v>323</v>
      </c>
      <c r="B304" s="44" t="s">
        <v>269</v>
      </c>
      <c r="C304" s="45">
        <v>83.7</v>
      </c>
      <c r="D304" s="45">
        <f>AVERAGEIF(graduates!$B$2:$B$301,$B304,graduates!$C$2:$C$301)</f>
        <v>71.350909090909084</v>
      </c>
      <c r="E304" s="45">
        <f t="array" ref="E304">SQRT(SUMPRODUCT((graduates!$B$2:$B$301=$B304)*(graduates!$C$2:$C$301-D304)^2)/(COUNTIF(graduates!$B$2:$B$301,$B304)-1))</f>
        <v>11.27685063612001</v>
      </c>
      <c r="F304" s="45">
        <f t="shared" si="8"/>
        <v>1.0950833089458947</v>
      </c>
      <c r="G304" s="44">
        <f t="shared" si="9"/>
        <v>1.0950833089458947</v>
      </c>
      <c r="H304" s="44"/>
      <c r="I304" s="44"/>
      <c r="J304" s="44"/>
    </row>
  </sheetData>
  <autoFilter ref="A4:G304" xr:uid="{00000000-0009-0000-0000-00000A000000}"/>
  <mergeCells count="2">
    <mergeCell ref="A1:H1"/>
    <mergeCell ref="A2:H2"/>
  </mergeCells>
  <conditionalFormatting sqref="F5:F304">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1"/>
  <sheetViews>
    <sheetView showGridLines="0" zoomScaleNormal="100" workbookViewId="0"/>
  </sheetViews>
  <sheetFormatPr defaultColWidth="8.6640625" defaultRowHeight="14.4" x14ac:dyDescent="0.3"/>
  <cols>
    <col min="1" max="1" width="18" style="15" customWidth="1"/>
    <col min="2" max="2" width="15" style="15" customWidth="1"/>
    <col min="3" max="3" width="18" style="15" customWidth="1"/>
    <col min="4" max="4" width="26" style="15" customWidth="1"/>
    <col min="5" max="5" width="18" style="15" customWidth="1"/>
    <col min="6" max="6" width="16.6640625" style="15" customWidth="1"/>
    <col min="7" max="8" width="15" style="15" customWidth="1"/>
  </cols>
  <sheetData>
    <row r="1" spans="1:8" ht="31.5" customHeight="1" x14ac:dyDescent="0.3">
      <c r="A1" s="87" t="s">
        <v>882</v>
      </c>
      <c r="B1" s="87"/>
      <c r="C1" s="87"/>
      <c r="D1" s="87"/>
      <c r="E1" s="87"/>
      <c r="F1" s="87"/>
      <c r="G1" s="87"/>
      <c r="H1" s="87"/>
    </row>
    <row r="2" spans="1:8" ht="30" customHeight="1" x14ac:dyDescent="0.3">
      <c r="A2" s="86"/>
      <c r="B2" s="86"/>
      <c r="C2" s="86"/>
      <c r="D2" s="86"/>
      <c r="E2" s="86"/>
      <c r="F2" s="86"/>
      <c r="G2" s="86"/>
      <c r="H2" s="86"/>
    </row>
    <row r="3" spans="1:8" ht="15" customHeight="1" x14ac:dyDescent="0.3">
      <c r="A3" s="44"/>
      <c r="B3" s="44"/>
      <c r="C3" s="44"/>
      <c r="D3" s="44"/>
      <c r="E3" s="44"/>
      <c r="F3" s="44"/>
      <c r="G3" s="44"/>
      <c r="H3" s="44"/>
    </row>
    <row r="4" spans="1:8" ht="22.5" customHeight="1" x14ac:dyDescent="0.3">
      <c r="A4" s="88" t="s">
        <v>883</v>
      </c>
      <c r="B4" s="88"/>
      <c r="C4" s="88"/>
      <c r="D4" s="88"/>
      <c r="E4" s="88"/>
      <c r="F4" s="88"/>
      <c r="G4" s="88"/>
      <c r="H4" s="88"/>
    </row>
    <row r="5" spans="1:8" ht="15" customHeight="1" x14ac:dyDescent="0.3">
      <c r="A5" s="48" t="s">
        <v>884</v>
      </c>
      <c r="B5" s="48" t="s">
        <v>885</v>
      </c>
      <c r="C5" s="48" t="s">
        <v>886</v>
      </c>
      <c r="D5" s="48" t="s">
        <v>759</v>
      </c>
      <c r="E5" s="44"/>
      <c r="F5" s="44"/>
      <c r="G5" s="44"/>
      <c r="H5" s="44"/>
    </row>
    <row r="6" spans="1:8" ht="15" customHeight="1" x14ac:dyDescent="0.3">
      <c r="A6" s="44">
        <f>FLOOR(_xlfn.MINIFS(graduates!$C$2:$C$301,graduates!$B$2:$B$301,"Data Science"),5)</f>
        <v>60</v>
      </c>
      <c r="B6" s="44">
        <f t="shared" ref="B6:B12" si="0">A6+5</f>
        <v>65</v>
      </c>
      <c r="C6" s="44" t="str">
        <f t="shared" ref="C6:C12" si="1">TEXT(A6,"0")&amp;"–&lt;"&amp;TEXT(B6,"0")</f>
        <v>60–&lt;65</v>
      </c>
      <c r="D6" s="44">
        <f>COUNTIFS(graduates!$B$2:$B$301,"Data Science",graduates!$C$2:$C$301,"&gt;="&amp;A6,graduates!$C$2:$C$301,"&lt;"&amp;B6)</f>
        <v>1</v>
      </c>
      <c r="E6" s="44"/>
      <c r="F6" s="44"/>
      <c r="G6" s="44"/>
      <c r="H6" s="44"/>
    </row>
    <row r="7" spans="1:8" ht="15" customHeight="1" x14ac:dyDescent="0.3">
      <c r="A7" s="44">
        <f t="shared" ref="A7:A12" si="2">B6</f>
        <v>65</v>
      </c>
      <c r="B7" s="44">
        <f t="shared" si="0"/>
        <v>70</v>
      </c>
      <c r="C7" s="44" t="str">
        <f t="shared" si="1"/>
        <v>65–&lt;70</v>
      </c>
      <c r="D7" s="44">
        <f>COUNTIFS(graduates!$B$2:$B$301,"Data Science",graduates!$C$2:$C$301,"&gt;="&amp;A7,graduates!$C$2:$C$301,"&lt;"&amp;B7)</f>
        <v>7</v>
      </c>
      <c r="E7" s="44"/>
      <c r="F7" s="44"/>
      <c r="G7" s="44"/>
      <c r="H7" s="44"/>
    </row>
    <row r="8" spans="1:8" ht="15" customHeight="1" x14ac:dyDescent="0.3">
      <c r="A8" s="44">
        <f t="shared" si="2"/>
        <v>70</v>
      </c>
      <c r="B8" s="44">
        <f t="shared" si="0"/>
        <v>75</v>
      </c>
      <c r="C8" s="44" t="str">
        <f t="shared" si="1"/>
        <v>70–&lt;75</v>
      </c>
      <c r="D8" s="44">
        <f>COUNTIFS(graduates!$B$2:$B$301,"Data Science",graduates!$C$2:$C$301,"&gt;="&amp;A8,graduates!$C$2:$C$301,"&lt;"&amp;B8)</f>
        <v>26</v>
      </c>
      <c r="E8" s="44"/>
      <c r="F8" s="44"/>
      <c r="G8" s="44"/>
      <c r="H8" s="44"/>
    </row>
    <row r="9" spans="1:8" ht="15" customHeight="1" x14ac:dyDescent="0.3">
      <c r="A9" s="44">
        <f t="shared" si="2"/>
        <v>75</v>
      </c>
      <c r="B9" s="44">
        <f t="shared" si="0"/>
        <v>80</v>
      </c>
      <c r="C9" s="44" t="str">
        <f t="shared" si="1"/>
        <v>75–&lt;80</v>
      </c>
      <c r="D9" s="44">
        <f>COUNTIFS(graduates!$B$2:$B$301,"Data Science",graduates!$C$2:$C$301,"&gt;="&amp;A9,graduates!$C$2:$C$301,"&lt;"&amp;B9)</f>
        <v>29</v>
      </c>
      <c r="E9" s="44"/>
      <c r="F9" s="44"/>
      <c r="G9" s="44"/>
      <c r="H9" s="44"/>
    </row>
    <row r="10" spans="1:8" ht="15" customHeight="1" x14ac:dyDescent="0.3">
      <c r="A10" s="44">
        <f t="shared" si="2"/>
        <v>80</v>
      </c>
      <c r="B10" s="44">
        <f t="shared" si="0"/>
        <v>85</v>
      </c>
      <c r="C10" s="44" t="str">
        <f t="shared" si="1"/>
        <v>80–&lt;85</v>
      </c>
      <c r="D10" s="44">
        <f>COUNTIFS(graduates!$B$2:$B$301,"Data Science",graduates!$C$2:$C$301,"&gt;="&amp;A10,graduates!$C$2:$C$301,"&lt;"&amp;B10)</f>
        <v>22</v>
      </c>
      <c r="E10" s="44"/>
      <c r="F10" s="44"/>
      <c r="G10" s="44"/>
      <c r="H10" s="44"/>
    </row>
    <row r="11" spans="1:8" ht="15" customHeight="1" x14ac:dyDescent="0.3">
      <c r="A11" s="44">
        <f t="shared" si="2"/>
        <v>85</v>
      </c>
      <c r="B11" s="44">
        <f t="shared" si="0"/>
        <v>90</v>
      </c>
      <c r="C11" s="44" t="str">
        <f t="shared" si="1"/>
        <v>85–&lt;90</v>
      </c>
      <c r="D11" s="44">
        <f>COUNTIFS(graduates!$B$2:$B$301,"Data Science",graduates!$C$2:$C$301,"&gt;="&amp;A11,graduates!$C$2:$C$301,"&lt;"&amp;B11)</f>
        <v>8</v>
      </c>
      <c r="E11" s="44"/>
      <c r="F11" s="44"/>
      <c r="G11" s="44"/>
      <c r="H11" s="44"/>
    </row>
    <row r="12" spans="1:8" ht="15" customHeight="1" x14ac:dyDescent="0.3">
      <c r="A12" s="44">
        <f t="shared" si="2"/>
        <v>90</v>
      </c>
      <c r="B12" s="44">
        <f t="shared" si="0"/>
        <v>95</v>
      </c>
      <c r="C12" s="44" t="str">
        <f t="shared" si="1"/>
        <v>90–&lt;95</v>
      </c>
      <c r="D12" s="44">
        <f>COUNTIFS(graduates!$B$2:$B$301,"Data Science",graduates!$C$2:$C$301,"&gt;="&amp;A12,graduates!$C$2:$C$301,"&lt;"&amp;B12)</f>
        <v>2</v>
      </c>
      <c r="E12" s="44"/>
      <c r="F12" s="44"/>
      <c r="G12" s="44"/>
      <c r="H12" s="44"/>
    </row>
    <row r="13" spans="1:8" ht="15" customHeight="1" x14ac:dyDescent="0.3">
      <c r="A13" s="44"/>
      <c r="B13" s="44"/>
      <c r="C13" s="44"/>
      <c r="D13" s="44"/>
      <c r="E13" s="44"/>
      <c r="F13" s="44"/>
      <c r="G13" s="44"/>
      <c r="H13" s="44"/>
    </row>
    <row r="14" spans="1:8" ht="15" customHeight="1" x14ac:dyDescent="0.3">
      <c r="A14" s="44"/>
      <c r="B14" s="44"/>
      <c r="C14" s="44"/>
      <c r="D14" s="44"/>
      <c r="E14" s="44"/>
      <c r="F14" s="44"/>
      <c r="G14" s="44"/>
      <c r="H14" s="44"/>
    </row>
    <row r="15" spans="1:8" ht="15" customHeight="1" x14ac:dyDescent="0.3">
      <c r="A15" s="44"/>
      <c r="B15" s="44"/>
      <c r="C15" s="44"/>
      <c r="D15" s="44"/>
      <c r="E15" s="44"/>
      <c r="F15" s="44"/>
      <c r="G15" s="44"/>
      <c r="H15" s="44"/>
    </row>
    <row r="16" spans="1:8" ht="15" customHeight="1" x14ac:dyDescent="0.3">
      <c r="A16" s="44"/>
      <c r="B16" s="44"/>
      <c r="C16" s="44"/>
      <c r="D16" s="44"/>
      <c r="E16" s="44"/>
      <c r="F16" s="44"/>
      <c r="G16" s="44"/>
      <c r="H16" s="44"/>
    </row>
    <row r="17" spans="1:8" ht="15" customHeight="1" x14ac:dyDescent="0.3">
      <c r="A17" s="44"/>
      <c r="B17" s="44"/>
      <c r="C17" s="44"/>
      <c r="D17" s="44"/>
      <c r="E17" s="44"/>
      <c r="F17" s="44"/>
      <c r="G17" s="44"/>
      <c r="H17" s="44"/>
    </row>
    <row r="18" spans="1:8" ht="15" customHeight="1" x14ac:dyDescent="0.3">
      <c r="A18" s="44"/>
      <c r="B18" s="44"/>
      <c r="C18" s="44"/>
      <c r="D18" s="44"/>
      <c r="E18" s="44"/>
      <c r="F18" s="44"/>
      <c r="G18" s="44"/>
      <c r="H18" s="44"/>
    </row>
    <row r="19" spans="1:8" ht="15" customHeight="1" x14ac:dyDescent="0.3">
      <c r="A19" s="44"/>
      <c r="B19" s="44"/>
      <c r="C19" s="44"/>
      <c r="D19" s="44"/>
      <c r="E19" s="44"/>
      <c r="F19" s="44"/>
      <c r="G19" s="44"/>
      <c r="H19" s="44"/>
    </row>
    <row r="20" spans="1:8" ht="22.5" customHeight="1" x14ac:dyDescent="0.3">
      <c r="A20" s="88" t="s">
        <v>887</v>
      </c>
      <c r="B20" s="88"/>
      <c r="C20" s="88"/>
      <c r="D20" s="88"/>
      <c r="E20" s="88"/>
      <c r="F20" s="88"/>
      <c r="G20" s="88"/>
      <c r="H20" s="88"/>
    </row>
    <row r="21" spans="1:8" ht="15" customHeight="1" x14ac:dyDescent="0.3">
      <c r="A21" s="48" t="s">
        <v>884</v>
      </c>
      <c r="B21" s="48" t="s">
        <v>885</v>
      </c>
      <c r="C21" s="48" t="s">
        <v>886</v>
      </c>
      <c r="D21" s="48" t="s">
        <v>759</v>
      </c>
      <c r="E21" s="44"/>
      <c r="F21" s="44"/>
      <c r="G21" s="44"/>
      <c r="H21" s="44"/>
    </row>
    <row r="22" spans="1:8" ht="15" customHeight="1" x14ac:dyDescent="0.3">
      <c r="A22" s="44">
        <v>5</v>
      </c>
      <c r="B22" s="44">
        <v>10</v>
      </c>
      <c r="C22" s="44" t="s">
        <v>888</v>
      </c>
      <c r="D22" s="44">
        <f>COUNTIFS(graduates!$D$2:$D$301,"&gt;="&amp;A22,graduates!$D$2:$D$301,"&lt;"&amp;B22)</f>
        <v>49</v>
      </c>
      <c r="E22" s="44"/>
      <c r="F22" s="44"/>
      <c r="G22" s="44"/>
      <c r="H22" s="44"/>
    </row>
    <row r="23" spans="1:8" ht="15" customHeight="1" x14ac:dyDescent="0.3">
      <c r="A23" s="44">
        <v>10</v>
      </c>
      <c r="B23" s="44">
        <v>15</v>
      </c>
      <c r="C23" s="44" t="s">
        <v>889</v>
      </c>
      <c r="D23" s="44">
        <f>COUNTIFS(graduates!$D$2:$D$301,"&gt;="&amp;A23,graduates!$D$2:$D$301,"&lt;"&amp;B23)</f>
        <v>102</v>
      </c>
      <c r="E23" s="44"/>
      <c r="F23" s="44"/>
      <c r="G23" s="44"/>
      <c r="H23" s="44"/>
    </row>
    <row r="24" spans="1:8" ht="15" customHeight="1" x14ac:dyDescent="0.3">
      <c r="A24" s="44">
        <v>15</v>
      </c>
      <c r="B24" s="44">
        <v>20</v>
      </c>
      <c r="C24" s="44" t="s">
        <v>890</v>
      </c>
      <c r="D24" s="44">
        <f>COUNTIFS(graduates!$D$2:$D$301,"&gt;="&amp;A24,graduates!$D$2:$D$301,"&lt;"&amp;B24)</f>
        <v>86</v>
      </c>
      <c r="E24" s="44"/>
      <c r="F24" s="44"/>
      <c r="G24" s="44"/>
      <c r="H24" s="44"/>
    </row>
    <row r="25" spans="1:8" ht="15" customHeight="1" x14ac:dyDescent="0.3">
      <c r="A25" s="44">
        <v>20</v>
      </c>
      <c r="B25" s="44">
        <v>25</v>
      </c>
      <c r="C25" s="44" t="s">
        <v>891</v>
      </c>
      <c r="D25" s="44">
        <f>COUNTIFS(graduates!$D$2:$D$301,"&gt;="&amp;A25,graduates!$D$2:$D$301,"&lt;"&amp;B25)</f>
        <v>49</v>
      </c>
      <c r="E25" s="44"/>
      <c r="F25" s="44"/>
      <c r="G25" s="44"/>
      <c r="H25" s="44"/>
    </row>
    <row r="26" spans="1:8" ht="15" customHeight="1" x14ac:dyDescent="0.3">
      <c r="A26" s="44">
        <v>25</v>
      </c>
      <c r="B26" s="44">
        <v>30</v>
      </c>
      <c r="C26" s="44" t="s">
        <v>892</v>
      </c>
      <c r="D26" s="44">
        <f>COUNTIFS(graduates!$D$2:$D$301,"&gt;="&amp;A26,graduates!$D$2:$D$301,"&lt;"&amp;B26)</f>
        <v>5</v>
      </c>
      <c r="E26" s="44"/>
      <c r="F26" s="44"/>
      <c r="G26" s="44"/>
      <c r="H26" s="44"/>
    </row>
    <row r="27" spans="1:8" ht="15" customHeight="1" x14ac:dyDescent="0.3">
      <c r="A27" s="44">
        <v>30</v>
      </c>
      <c r="B27" s="44">
        <v>35</v>
      </c>
      <c r="C27" s="44" t="s">
        <v>893</v>
      </c>
      <c r="D27" s="44">
        <f>COUNTIFS(graduates!$D$2:$D$301,"&gt;="&amp;A27,graduates!$D$2:$D$301,"&lt;"&amp;B27)</f>
        <v>4</v>
      </c>
      <c r="E27" s="44"/>
      <c r="F27" s="44"/>
      <c r="G27" s="44"/>
      <c r="H27" s="44"/>
    </row>
    <row r="28" spans="1:8" ht="15" customHeight="1" x14ac:dyDescent="0.3">
      <c r="A28" s="44">
        <v>35</v>
      </c>
      <c r="B28" s="44">
        <v>40</v>
      </c>
      <c r="C28" s="44" t="s">
        <v>894</v>
      </c>
      <c r="D28" s="44">
        <f>COUNTIFS(graduates!$D$2:$D$301,"&gt;="&amp;A28,graduates!$D$2:$D$301,"&lt;"&amp;B28)</f>
        <v>3</v>
      </c>
      <c r="E28" s="44"/>
      <c r="F28" s="44"/>
      <c r="G28" s="44"/>
      <c r="H28" s="44"/>
    </row>
    <row r="29" spans="1:8" ht="15" customHeight="1" x14ac:dyDescent="0.3">
      <c r="A29" s="44">
        <v>40</v>
      </c>
      <c r="B29" s="44">
        <v>45</v>
      </c>
      <c r="C29" s="44" t="s">
        <v>895</v>
      </c>
      <c r="D29" s="44">
        <f>COUNTIFS(graduates!$D$2:$D$301,"&gt;="&amp;A29,graduates!$D$2:$D$301,"&lt;"&amp;B29)</f>
        <v>1</v>
      </c>
      <c r="E29" s="44"/>
      <c r="F29" s="44"/>
      <c r="G29" s="44"/>
      <c r="H29" s="44"/>
    </row>
    <row r="30" spans="1:8" ht="15" customHeight="1" x14ac:dyDescent="0.3">
      <c r="A30" s="44">
        <v>45</v>
      </c>
      <c r="B30" s="44">
        <v>50</v>
      </c>
      <c r="C30" s="44" t="s">
        <v>896</v>
      </c>
      <c r="D30" s="44">
        <f>COUNTIFS(graduates!$D$2:$D$301,"&gt;="&amp;A30,graduates!$D$2:$D$301,"&lt;"&amp;B30)</f>
        <v>1</v>
      </c>
      <c r="E30" s="44"/>
      <c r="F30" s="44"/>
      <c r="G30" s="44"/>
      <c r="H30" s="44"/>
    </row>
    <row r="31" spans="1:8" ht="15" customHeight="1" x14ac:dyDescent="0.3">
      <c r="A31" s="44"/>
      <c r="B31" s="44"/>
      <c r="C31" s="44"/>
      <c r="D31" s="44"/>
      <c r="E31" s="44"/>
      <c r="F31" s="44"/>
      <c r="G31" s="44"/>
      <c r="H31" s="44"/>
    </row>
    <row r="32" spans="1:8" ht="15" customHeight="1" x14ac:dyDescent="0.3">
      <c r="A32" s="44"/>
      <c r="B32" s="44"/>
      <c r="C32" s="44"/>
      <c r="D32" s="44"/>
      <c r="E32" s="44"/>
      <c r="F32" s="44"/>
      <c r="G32" s="44"/>
      <c r="H32" s="44"/>
    </row>
    <row r="33" spans="1:8" ht="15" customHeight="1" x14ac:dyDescent="0.3">
      <c r="A33" s="44"/>
      <c r="B33" s="44"/>
      <c r="C33" s="44"/>
      <c r="D33" s="44"/>
      <c r="E33" s="44"/>
      <c r="F33" s="44"/>
      <c r="G33" s="44"/>
      <c r="H33" s="44"/>
    </row>
    <row r="34" spans="1:8" ht="15" customHeight="1" x14ac:dyDescent="0.3">
      <c r="A34" s="44"/>
      <c r="B34" s="44"/>
      <c r="C34" s="44"/>
      <c r="D34" s="44"/>
      <c r="E34" s="44"/>
      <c r="F34" s="44"/>
      <c r="G34" s="44"/>
      <c r="H34" s="44"/>
    </row>
    <row r="35" spans="1:8" ht="22.5" customHeight="1" x14ac:dyDescent="0.3">
      <c r="A35" s="88" t="s">
        <v>897</v>
      </c>
      <c r="B35" s="88"/>
      <c r="C35" s="88"/>
      <c r="D35" s="88"/>
      <c r="E35" s="88"/>
      <c r="F35" s="88"/>
      <c r="G35" s="88"/>
      <c r="H35" s="88"/>
    </row>
    <row r="36" spans="1:8" ht="27.75" customHeight="1" x14ac:dyDescent="0.3">
      <c r="A36" s="48" t="s">
        <v>707</v>
      </c>
      <c r="B36" s="48" t="s">
        <v>733</v>
      </c>
      <c r="C36" s="48" t="s">
        <v>898</v>
      </c>
      <c r="D36" s="48" t="s">
        <v>637</v>
      </c>
      <c r="E36" s="44"/>
      <c r="F36" s="44"/>
      <c r="G36" s="44"/>
      <c r="H36" s="44"/>
    </row>
    <row r="37" spans="1:8" ht="28.5" customHeight="1" x14ac:dyDescent="0.3">
      <c r="A37" s="44" t="s">
        <v>708</v>
      </c>
      <c r="B37" s="45">
        <f>AVERAGEIF(graduates!B$2:B$301, "Data Science", graduates!C$2:C$301)</f>
        <v>77.667368421052629</v>
      </c>
      <c r="C37" s="45">
        <f>AVERAGE(graduates!D$2:D$301)</f>
        <v>15.594999999999988</v>
      </c>
      <c r="D37" s="44" t="s">
        <v>899</v>
      </c>
      <c r="E37" s="44"/>
      <c r="F37" s="44"/>
      <c r="G37" s="44"/>
      <c r="H37" s="44"/>
    </row>
    <row r="38" spans="1:8" ht="28.5" customHeight="1" x14ac:dyDescent="0.3">
      <c r="A38" s="44" t="s">
        <v>729</v>
      </c>
      <c r="B38" s="45">
        <f t="array" ref="B38">MEDIAN(IF(graduates!$B$2:$B$301="Data Science", graduates!$C$2:$C$301))</f>
        <v>77.400000000000006</v>
      </c>
      <c r="C38" s="45">
        <f>MEDIAN(graduates!D$2:D$301)</f>
        <v>14.9</v>
      </c>
      <c r="D38" s="44" t="s">
        <v>900</v>
      </c>
      <c r="E38" s="44"/>
      <c r="F38" s="44"/>
      <c r="G38" s="44"/>
      <c r="H38" s="44"/>
    </row>
    <row r="39" spans="1:8" ht="35.25" customHeight="1" x14ac:dyDescent="0.3">
      <c r="A39" s="44" t="s">
        <v>828</v>
      </c>
      <c r="B39" s="44" t="str">
        <f t="array" ref="B39">_xlfn.TEXTJOIN(", ", TRUE(), _xlfn.MODE.MULT(IF(graduates!$B$2:$B$301="Data Science", graduates!$C$2:$C$301)))</f>
        <v>73.9, 77.3</v>
      </c>
      <c r="C39" s="44">
        <f>_xlfn.MODE.SNGL(graduates!D$2:D$301)</f>
        <v>16.5</v>
      </c>
      <c r="D39" s="44" t="s">
        <v>901</v>
      </c>
      <c r="E39" s="44"/>
      <c r="F39" s="44"/>
      <c r="G39" s="44"/>
      <c r="H39" s="44"/>
    </row>
    <row r="40" spans="1:8" ht="42.75" customHeight="1" x14ac:dyDescent="0.3">
      <c r="A40" s="44" t="s">
        <v>902</v>
      </c>
      <c r="B40" s="45">
        <f t="array" ref="B40">SKEW(IF(graduates!$B$2:$B$301="Data Science", graduates!$C$2:$C$301))</f>
        <v>7.6709826389548832E-2</v>
      </c>
      <c r="C40" s="45">
        <f>SKEW(graduates!D$2:D$301)</f>
        <v>1.3853821550729977</v>
      </c>
      <c r="D40" s="44" t="s">
        <v>903</v>
      </c>
      <c r="E40" s="44"/>
      <c r="F40" s="44"/>
      <c r="G40" s="44"/>
      <c r="H40" s="44"/>
    </row>
    <row r="41" spans="1:8" ht="41.25" customHeight="1" x14ac:dyDescent="0.3">
      <c r="A41" s="44" t="s">
        <v>868</v>
      </c>
      <c r="B41" s="45">
        <f t="array" ref="B41">((_xlfn.QUARTILE.INC(IF(graduates!$B$2:$B$301="Data Science", graduates!$C$2:$C$301),3)-MEDIAN(IF(graduates!$B$2:$B$301="Data Science", graduates!$C$2:$C$301)))-(MEDIAN(IF(graduates!$B$2:$B$301="Data Science", graduates!$C$2:$C$301))-_xlfn.QUARTILE.INC(IF(graduates!$B$2:$B$301="Data Science", graduates!$C$2:$C$301),1)))/(_xlfn.QUARTILE.INC(IF(graduates!$B$2:$B$301="Data Science", graduates!$C$2:$C$301),3)-_xlfn.QUARTILE.INC(IF(graduates!$B$2:$B$301="Data Science", graduates!$C$2:$C$301),1))</f>
        <v>2.531645569620292E-2</v>
      </c>
      <c r="C41" s="45">
        <f>(((_xlfn.QUARTILE.INC(graduates!D$2:D$301,3)-MEDIAN(graduates!D$2:D$301))-(MEDIAN(graduates!D$2:D$301)-_xlfn.QUARTILE.INC(graduates!D$2:D$301,1)))/(_xlfn.QUARTILE.INC(graduates!D$2:D$301,3)-_xlfn.QUARTILE.INC(graduates!D$2:D$301,1)))</f>
        <v>2.439024390243888E-2</v>
      </c>
      <c r="D41" s="44" t="s">
        <v>904</v>
      </c>
      <c r="E41" s="44"/>
      <c r="F41" s="44"/>
      <c r="G41" s="44"/>
      <c r="H41" s="44"/>
    </row>
    <row r="42" spans="1:8" ht="15" customHeight="1" x14ac:dyDescent="0.3">
      <c r="A42" s="44"/>
      <c r="B42" s="44"/>
      <c r="C42" s="44"/>
      <c r="D42" s="44"/>
      <c r="E42" s="44"/>
      <c r="F42" s="44"/>
      <c r="G42" s="44"/>
      <c r="H42" s="44"/>
    </row>
    <row r="43" spans="1:8" ht="15" customHeight="1" x14ac:dyDescent="0.3">
      <c r="A43" s="44"/>
      <c r="B43" s="44"/>
      <c r="C43" s="44"/>
      <c r="D43" s="44"/>
      <c r="E43" s="44"/>
      <c r="F43" s="44"/>
      <c r="G43" s="44"/>
      <c r="H43" s="44"/>
    </row>
    <row r="44" spans="1:8" ht="22.5" customHeight="1" x14ac:dyDescent="0.3">
      <c r="A44" s="88" t="s">
        <v>905</v>
      </c>
      <c r="B44" s="88"/>
      <c r="C44" s="88"/>
      <c r="D44" s="88"/>
      <c r="E44" s="88"/>
      <c r="F44" s="88"/>
      <c r="G44" s="88"/>
      <c r="H44" s="88"/>
    </row>
    <row r="45" spans="1:8" ht="30" customHeight="1" x14ac:dyDescent="0.3">
      <c r="A45" s="49" t="s">
        <v>670</v>
      </c>
      <c r="B45" s="49" t="s">
        <v>754</v>
      </c>
      <c r="C45" s="49" t="s">
        <v>729</v>
      </c>
      <c r="D45" s="49" t="s">
        <v>755</v>
      </c>
      <c r="E45" s="50" t="s">
        <v>868</v>
      </c>
      <c r="F45" s="48" t="s">
        <v>711</v>
      </c>
      <c r="G45" s="44"/>
      <c r="H45" s="44"/>
    </row>
    <row r="46" spans="1:8" ht="15" customHeight="1" x14ac:dyDescent="0.3">
      <c r="A46" s="44" t="s">
        <v>206</v>
      </c>
      <c r="B46" s="45">
        <f t="array" ref="B46">QUARTILE(IF(graduates!$B$2:$B$301=A46, graduates!$D$2:$D$301), 1)</f>
        <v>12.4</v>
      </c>
      <c r="C46" s="45">
        <f>Part_C_Analysis!C21</f>
        <v>15.45</v>
      </c>
      <c r="D46" s="45">
        <f t="array" ref="D46">QUARTILE(IF(graduates!$B$2:$B$301=A46, graduates!$D$2:$D$301), 3)</f>
        <v>20.525000000000002</v>
      </c>
      <c r="E46" s="45">
        <f>((D46-C46)-(C46-B46))/(D46-B46)</f>
        <v>0.24923076923076964</v>
      </c>
      <c r="F46" s="44" t="s">
        <v>906</v>
      </c>
      <c r="G46" s="44"/>
      <c r="H46" s="44"/>
    </row>
    <row r="47" spans="1:8" ht="15" customHeight="1" x14ac:dyDescent="0.3">
      <c r="A47" s="44" t="s">
        <v>21</v>
      </c>
      <c r="B47" s="45">
        <f t="array" ref="B47">QUARTILE(IF(graduates!$B$2:$B$301=A47, graduates!$D$2:$D$301), 1)</f>
        <v>13.4</v>
      </c>
      <c r="C47" s="45">
        <f>Part_C_Analysis!C22</f>
        <v>16.899999999999999</v>
      </c>
      <c r="D47" s="45">
        <f t="array" ref="D47">QUARTILE(IF(graduates!$B$2:$B$301=A47, graduates!$D$2:$D$301), 3)</f>
        <v>20.9</v>
      </c>
      <c r="E47" s="45">
        <f>((D47-C47)-(C47-B47))/(D47-B47)</f>
        <v>6.6666666666666916E-2</v>
      </c>
      <c r="F47" s="44" t="s">
        <v>872</v>
      </c>
      <c r="G47" s="44"/>
      <c r="H47" s="44"/>
    </row>
    <row r="48" spans="1:8" ht="15" customHeight="1" x14ac:dyDescent="0.3">
      <c r="A48" s="44" t="s">
        <v>269</v>
      </c>
      <c r="B48" s="45">
        <f t="array" ref="B48">QUARTILE(IF(graduates!$B$2:$B$301=A48, graduates!$D$2:$D$301), 1)</f>
        <v>9.8500000000000014</v>
      </c>
      <c r="C48" s="45">
        <f>Part_C_Analysis!C23</f>
        <v>12.4</v>
      </c>
      <c r="D48" s="45">
        <f t="array" ref="D48">QUARTILE(IF(graduates!$B$2:$B$301=A48, graduates!$D$2:$D$301), 3)</f>
        <v>15</v>
      </c>
      <c r="E48" s="45">
        <f>((D48-C48)-(C48-B48))/(D48-B48)</f>
        <v>9.7087378640778113E-3</v>
      </c>
      <c r="F48" s="44" t="s">
        <v>907</v>
      </c>
      <c r="G48" s="44"/>
      <c r="H48" s="44"/>
    </row>
    <row r="49" spans="1:8" ht="15" customHeight="1" x14ac:dyDescent="0.3">
      <c r="A49" s="44" t="s">
        <v>117</v>
      </c>
      <c r="B49" s="45">
        <f t="array" ref="B49">QUARTILE(IF(graduates!$B$2:$B$301=A49, graduates!$D$2:$D$301), 1)</f>
        <v>10.1</v>
      </c>
      <c r="C49" s="45">
        <f>Part_C_Analysis!C24</f>
        <v>13.45</v>
      </c>
      <c r="D49" s="45">
        <f t="array" ref="D49">QUARTILE(IF(graduates!$B$2:$B$301=A49, graduates!$D$2:$D$301), 3)</f>
        <v>16.5</v>
      </c>
      <c r="E49" s="45">
        <f>((D49-C49)-(C49-B49))/(D49-B49)</f>
        <v>-4.6874999999999833E-2</v>
      </c>
      <c r="F49" s="44" t="s">
        <v>907</v>
      </c>
      <c r="G49" s="44"/>
      <c r="H49" s="44"/>
    </row>
    <row r="50" spans="1:8" ht="30" customHeight="1" x14ac:dyDescent="0.3">
      <c r="G50" s="44"/>
      <c r="H50" s="44"/>
    </row>
    <row r="51" spans="1:8" ht="15" customHeight="1" x14ac:dyDescent="0.3">
      <c r="A51" s="49" t="s">
        <v>670</v>
      </c>
      <c r="B51" s="49" t="s">
        <v>908</v>
      </c>
      <c r="C51" s="49" t="s">
        <v>909</v>
      </c>
      <c r="G51" s="44"/>
      <c r="H51" s="44"/>
    </row>
    <row r="52" spans="1:8" ht="15" customHeight="1" x14ac:dyDescent="0.3">
      <c r="A52" s="15" t="s">
        <v>206</v>
      </c>
      <c r="B52" s="36">
        <f>AVERAGEIF(graduates!$B$2:$B$301,A52,graduates!$D$2:$D$301)</f>
        <v>16.491935483870961</v>
      </c>
      <c r="C52" s="36">
        <f t="array" ref="C52">MEDIAN(IF(graduates!$B$2:$B$301=A52, graduates!$D$2:$D$301))</f>
        <v>15.45</v>
      </c>
      <c r="G52" s="44"/>
      <c r="H52" s="44"/>
    </row>
    <row r="53" spans="1:8" ht="15" customHeight="1" x14ac:dyDescent="0.3">
      <c r="A53" s="15" t="s">
        <v>21</v>
      </c>
      <c r="B53" s="36">
        <f>AVERAGEIF(graduates!$B$2:$B$301,A53,graduates!$D$2:$D$301)</f>
        <v>17.953684210526315</v>
      </c>
      <c r="C53" s="36">
        <f t="array" ref="C53">MEDIAN(IF(graduates!$B$2:$B$301=A53, graduates!$D$2:$D$301))</f>
        <v>16.899999999999999</v>
      </c>
      <c r="G53" s="44"/>
      <c r="H53" s="44"/>
    </row>
    <row r="54" spans="1:8" ht="15" customHeight="1" x14ac:dyDescent="0.3">
      <c r="A54" s="15" t="s">
        <v>269</v>
      </c>
      <c r="B54" s="36">
        <f>AVERAGEIF(graduates!$B$2:$B$301,A54,graduates!$D$2:$D$301)</f>
        <v>13.047272727272725</v>
      </c>
      <c r="C54" s="36">
        <f t="array" ref="C54">MEDIAN(IF(graduates!$B$2:$B$301=A54, graduates!$D$2:$D$301))</f>
        <v>12.4</v>
      </c>
      <c r="G54" s="44"/>
      <c r="H54" s="44"/>
    </row>
    <row r="55" spans="1:8" ht="15" customHeight="1" x14ac:dyDescent="0.3">
      <c r="A55" s="15" t="s">
        <v>117</v>
      </c>
      <c r="B55" s="36">
        <f>AVERAGEIF(graduates!$B$2:$B$301,A55,graduates!$D$2:$D$301)</f>
        <v>14.009090909090906</v>
      </c>
      <c r="C55" s="36">
        <f t="array" ref="C55">MEDIAN(IF(graduates!$B$2:$B$301=A55, graduates!$D$2:$D$301))</f>
        <v>13.45</v>
      </c>
    </row>
    <row r="57" spans="1:8" ht="15" customHeight="1" x14ac:dyDescent="0.3">
      <c r="A57" s="51"/>
      <c r="B57" s="51"/>
      <c r="C57" s="51"/>
      <c r="D57" s="51"/>
      <c r="E57" s="51"/>
      <c r="F57" s="52"/>
    </row>
    <row r="58" spans="1:8" ht="15" customHeight="1" x14ac:dyDescent="0.3">
      <c r="A58" s="44"/>
      <c r="B58" s="45"/>
      <c r="C58" s="45"/>
      <c r="D58" s="45"/>
      <c r="E58" s="45"/>
      <c r="F58" s="44"/>
    </row>
    <row r="59" spans="1:8" ht="15" customHeight="1" x14ac:dyDescent="0.3">
      <c r="A59" s="44"/>
      <c r="B59" s="45"/>
      <c r="C59" s="45"/>
      <c r="D59" s="45"/>
      <c r="E59" s="45"/>
      <c r="F59" s="44"/>
    </row>
    <row r="60" spans="1:8" ht="15" customHeight="1" x14ac:dyDescent="0.3">
      <c r="A60" s="44"/>
      <c r="B60" s="45"/>
      <c r="C60" s="45"/>
      <c r="D60" s="45"/>
      <c r="E60" s="45"/>
      <c r="F60" s="44"/>
    </row>
    <row r="61" spans="1:8" ht="15" customHeight="1" x14ac:dyDescent="0.3">
      <c r="A61" s="44"/>
      <c r="B61" s="45"/>
      <c r="C61" s="45"/>
      <c r="D61" s="45"/>
      <c r="E61" s="45"/>
      <c r="F61" s="44"/>
    </row>
  </sheetData>
  <mergeCells count="6">
    <mergeCell ref="A44:H44"/>
    <mergeCell ref="A1:H1"/>
    <mergeCell ref="A2:H2"/>
    <mergeCell ref="A4:H4"/>
    <mergeCell ref="A20:H20"/>
    <mergeCell ref="A35:H35"/>
  </mergeCell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54"/>
  <sheetViews>
    <sheetView showGridLines="0" zoomScale="61" zoomScaleNormal="61" workbookViewId="0">
      <selection activeCell="H33" sqref="H33"/>
    </sheetView>
  </sheetViews>
  <sheetFormatPr defaultColWidth="8.6640625" defaultRowHeight="14.4" x14ac:dyDescent="0.3"/>
  <cols>
    <col min="2" max="2" width="58.6640625" style="15" customWidth="1"/>
    <col min="3" max="3" width="51.88671875" style="15" customWidth="1"/>
  </cols>
  <sheetData>
    <row r="1" spans="1:3" ht="9" customHeight="1" x14ac:dyDescent="0.3"/>
    <row r="2" spans="1:3" ht="30.75" customHeight="1" x14ac:dyDescent="0.6">
      <c r="A2" s="53"/>
      <c r="B2" s="54" t="s">
        <v>910</v>
      </c>
      <c r="C2" s="53"/>
    </row>
    <row r="4" spans="1:3" x14ac:dyDescent="0.3">
      <c r="B4" s="15" t="s">
        <v>911</v>
      </c>
      <c r="C4" s="15" t="s">
        <v>912</v>
      </c>
    </row>
    <row r="5" spans="1:3" ht="125.25" customHeight="1" x14ac:dyDescent="0.3">
      <c r="B5" s="55" t="s">
        <v>913</v>
      </c>
      <c r="C5" s="56" t="s">
        <v>914</v>
      </c>
    </row>
    <row r="6" spans="1:3" ht="66.75" customHeight="1" x14ac:dyDescent="0.3">
      <c r="B6" s="57" t="s">
        <v>915</v>
      </c>
      <c r="C6" s="58" t="s">
        <v>916</v>
      </c>
    </row>
    <row r="7" spans="1:3" ht="135" customHeight="1" x14ac:dyDescent="0.3">
      <c r="B7" s="57" t="s">
        <v>917</v>
      </c>
      <c r="C7" s="57" t="s">
        <v>918</v>
      </c>
    </row>
    <row r="8" spans="1:3" ht="174" customHeight="1" x14ac:dyDescent="0.3">
      <c r="B8" s="57" t="s">
        <v>919</v>
      </c>
      <c r="C8" s="57" t="s">
        <v>920</v>
      </c>
    </row>
    <row r="10" spans="1:3" ht="14.25" customHeight="1" x14ac:dyDescent="0.3">
      <c r="B10" s="89" t="s">
        <v>921</v>
      </c>
      <c r="C10" s="89"/>
    </row>
    <row r="11" spans="1:3" x14ac:dyDescent="0.3">
      <c r="B11" s="89"/>
      <c r="C11" s="89"/>
    </row>
    <row r="12" spans="1:3" x14ac:dyDescent="0.3">
      <c r="B12" s="89"/>
      <c r="C12" s="89"/>
    </row>
    <row r="13" spans="1:3" x14ac:dyDescent="0.3">
      <c r="B13" s="89"/>
      <c r="C13" s="89"/>
    </row>
    <row r="14" spans="1:3" x14ac:dyDescent="0.3">
      <c r="B14" s="89"/>
      <c r="C14" s="89"/>
    </row>
    <row r="15" spans="1:3" x14ac:dyDescent="0.3">
      <c r="B15" s="89"/>
      <c r="C15" s="89"/>
    </row>
    <row r="16" spans="1:3" x14ac:dyDescent="0.3">
      <c r="B16" s="89"/>
      <c r="C16" s="89"/>
    </row>
    <row r="17" spans="1:3" x14ac:dyDescent="0.3">
      <c r="B17" s="89"/>
      <c r="C17" s="89"/>
    </row>
    <row r="18" spans="1:3" x14ac:dyDescent="0.3">
      <c r="B18" s="89"/>
      <c r="C18" s="89"/>
    </row>
    <row r="19" spans="1:3" x14ac:dyDescent="0.3">
      <c r="B19" s="89"/>
      <c r="C19" s="89"/>
    </row>
    <row r="20" spans="1:3" x14ac:dyDescent="0.3">
      <c r="B20" s="89"/>
      <c r="C20" s="89"/>
    </row>
    <row r="24" spans="1:3" ht="35.25" customHeight="1" x14ac:dyDescent="0.6">
      <c r="A24" s="59"/>
      <c r="B24" s="54" t="s">
        <v>922</v>
      </c>
      <c r="C24" s="59"/>
    </row>
    <row r="26" spans="1:3" ht="27.75" customHeight="1" x14ac:dyDescent="0.65">
      <c r="B26" s="60" t="s">
        <v>923</v>
      </c>
      <c r="C26" s="61">
        <f>SUM(graduates!F:F) / SUM(graduates!E:E)</f>
        <v>0.2916160388821385</v>
      </c>
    </row>
    <row r="28" spans="1:3" ht="23.25" customHeight="1" x14ac:dyDescent="0.4">
      <c r="B28" s="62" t="s">
        <v>924</v>
      </c>
      <c r="C28" s="62">
        <f>_xlfn.BINOM.DIST(2,6,P_hat,FALSE())</f>
        <v>0.32120992074773541</v>
      </c>
    </row>
    <row r="29" spans="1:3" ht="21" customHeight="1" x14ac:dyDescent="0.4">
      <c r="B29" s="63" t="s">
        <v>925</v>
      </c>
      <c r="C29" s="63">
        <f>_xlfn.BINOM.DIST(0,6,P_hat,FALSE())</f>
        <v>0.12636078559378131</v>
      </c>
    </row>
    <row r="30" spans="1:3" ht="23.25" customHeight="1" x14ac:dyDescent="0.4">
      <c r="B30" s="62" t="s">
        <v>926</v>
      </c>
      <c r="C30" s="62">
        <f>1-_xlfn.BINOM.DIST(0,6,P_hat,FALSE())</f>
        <v>0.87363921440621872</v>
      </c>
    </row>
    <row r="31" spans="1:3" ht="21.75" customHeight="1" x14ac:dyDescent="0.4">
      <c r="B31" s="63" t="s">
        <v>708</v>
      </c>
      <c r="C31" s="63">
        <f>6*P_hat</f>
        <v>1.749696233292831</v>
      </c>
    </row>
    <row r="32" spans="1:3" ht="24" customHeight="1" x14ac:dyDescent="0.4">
      <c r="B32" s="62" t="s">
        <v>927</v>
      </c>
      <c r="C32" s="62">
        <f>6*P_hat*(1-P_hat)</f>
        <v>1.2394567484929775</v>
      </c>
    </row>
    <row r="36" spans="1:19" ht="33" customHeight="1" x14ac:dyDescent="0.55000000000000004">
      <c r="A36" s="59"/>
      <c r="B36" s="64" t="s">
        <v>928</v>
      </c>
      <c r="C36" s="59"/>
    </row>
    <row r="37" spans="1:19" ht="14.25" customHeight="1" x14ac:dyDescent="0.3">
      <c r="L37" s="90" t="s">
        <v>929</v>
      </c>
      <c r="M37" s="90"/>
      <c r="N37" s="90"/>
      <c r="O37" s="90"/>
      <c r="P37" s="90"/>
      <c r="Q37" s="90"/>
      <c r="R37" s="90"/>
      <c r="S37" s="90"/>
    </row>
    <row r="38" spans="1:19" ht="18" customHeight="1" x14ac:dyDescent="0.35">
      <c r="B38" s="65" t="s">
        <v>930</v>
      </c>
      <c r="C38" s="65" t="s">
        <v>923</v>
      </c>
      <c r="L38" s="90"/>
      <c r="M38" s="90"/>
      <c r="N38" s="90"/>
      <c r="O38" s="90"/>
      <c r="P38" s="90"/>
      <c r="Q38" s="90"/>
      <c r="R38" s="90"/>
      <c r="S38" s="90"/>
    </row>
    <row r="39" spans="1:19" ht="18" customHeight="1" x14ac:dyDescent="0.35">
      <c r="B39" s="66">
        <v>0</v>
      </c>
      <c r="C39" s="66">
        <f t="shared" ref="C39:C45" si="0">_xlfn.BINOM.DIST(B39,6,P_hat,FALSE())</f>
        <v>0.12636078559378131</v>
      </c>
      <c r="L39" s="90"/>
      <c r="M39" s="90"/>
      <c r="N39" s="90"/>
      <c r="O39" s="90"/>
      <c r="P39" s="90"/>
      <c r="Q39" s="90"/>
      <c r="R39" s="90"/>
      <c r="S39" s="90"/>
    </row>
    <row r="40" spans="1:19" ht="18" customHeight="1" x14ac:dyDescent="0.35">
      <c r="B40" s="65">
        <v>1</v>
      </c>
      <c r="C40" s="65">
        <f t="shared" si="0"/>
        <v>0.31210897299321627</v>
      </c>
      <c r="L40" s="90"/>
      <c r="M40" s="90"/>
      <c r="N40" s="90"/>
      <c r="O40" s="90"/>
      <c r="P40" s="90"/>
      <c r="Q40" s="90"/>
      <c r="R40" s="90"/>
      <c r="S40" s="90"/>
    </row>
    <row r="41" spans="1:19" ht="18" customHeight="1" x14ac:dyDescent="0.35">
      <c r="B41" s="66">
        <v>2</v>
      </c>
      <c r="C41" s="66">
        <f t="shared" si="0"/>
        <v>0.32120992074773541</v>
      </c>
      <c r="L41" s="90"/>
      <c r="M41" s="90"/>
      <c r="N41" s="90"/>
      <c r="O41" s="90"/>
      <c r="P41" s="90"/>
      <c r="Q41" s="90"/>
      <c r="R41" s="90"/>
      <c r="S41" s="90"/>
    </row>
    <row r="42" spans="1:19" ht="18" customHeight="1" x14ac:dyDescent="0.35">
      <c r="B42" s="65">
        <v>3</v>
      </c>
      <c r="C42" s="65">
        <f t="shared" si="0"/>
        <v>0.1763073321428392</v>
      </c>
      <c r="L42" s="90"/>
      <c r="M42" s="90"/>
      <c r="N42" s="90"/>
      <c r="O42" s="90"/>
      <c r="P42" s="90"/>
      <c r="Q42" s="90"/>
      <c r="R42" s="90"/>
      <c r="S42" s="90"/>
    </row>
    <row r="43" spans="1:19" ht="18" customHeight="1" x14ac:dyDescent="0.35">
      <c r="B43" s="66">
        <v>4</v>
      </c>
      <c r="C43" s="66">
        <f t="shared" si="0"/>
        <v>5.443451078166562E-2</v>
      </c>
      <c r="L43" s="90"/>
      <c r="M43" s="90"/>
      <c r="N43" s="90"/>
      <c r="O43" s="90"/>
      <c r="P43" s="90"/>
      <c r="Q43" s="90"/>
      <c r="R43" s="90"/>
      <c r="S43" s="90"/>
    </row>
    <row r="44" spans="1:19" ht="18" customHeight="1" x14ac:dyDescent="0.35">
      <c r="B44" s="65">
        <v>5</v>
      </c>
      <c r="C44" s="65">
        <f t="shared" si="0"/>
        <v>8.9634871956087367E-3</v>
      </c>
      <c r="L44" s="90"/>
      <c r="M44" s="90"/>
      <c r="N44" s="90"/>
      <c r="O44" s="90"/>
      <c r="P44" s="90"/>
      <c r="Q44" s="90"/>
      <c r="R44" s="90"/>
      <c r="S44" s="90"/>
    </row>
    <row r="45" spans="1:19" ht="18" customHeight="1" x14ac:dyDescent="0.35">
      <c r="B45" s="66">
        <v>6</v>
      </c>
      <c r="C45" s="66">
        <f t="shared" si="0"/>
        <v>6.1499054515325906E-4</v>
      </c>
      <c r="L45" s="90"/>
      <c r="M45" s="90"/>
      <c r="N45" s="90"/>
      <c r="O45" s="90"/>
      <c r="P45" s="90"/>
      <c r="Q45" s="90"/>
      <c r="R45" s="90"/>
      <c r="S45" s="90"/>
    </row>
    <row r="46" spans="1:19" x14ac:dyDescent="0.3">
      <c r="L46" s="90"/>
      <c r="M46" s="90"/>
      <c r="N46" s="90"/>
      <c r="O46" s="90"/>
      <c r="P46" s="90"/>
      <c r="Q46" s="90"/>
      <c r="R46" s="90"/>
      <c r="S46" s="90"/>
    </row>
    <row r="47" spans="1:19" x14ac:dyDescent="0.3">
      <c r="L47" s="90"/>
      <c r="M47" s="90"/>
      <c r="N47" s="90"/>
      <c r="O47" s="90"/>
      <c r="P47" s="90"/>
      <c r="Q47" s="90"/>
      <c r="R47" s="90"/>
      <c r="S47" s="90"/>
    </row>
    <row r="48" spans="1:19" x14ac:dyDescent="0.3">
      <c r="L48" s="90"/>
      <c r="M48" s="90"/>
      <c r="N48" s="90"/>
      <c r="O48" s="90"/>
      <c r="P48" s="90"/>
      <c r="Q48" s="90"/>
      <c r="R48" s="90"/>
      <c r="S48" s="90"/>
    </row>
    <row r="49" spans="2:19" x14ac:dyDescent="0.3">
      <c r="B49" s="67" t="s">
        <v>931</v>
      </c>
      <c r="C49" s="67" t="s">
        <v>932</v>
      </c>
      <c r="L49" s="90"/>
      <c r="M49" s="90"/>
      <c r="N49" s="90"/>
      <c r="O49" s="90"/>
      <c r="P49" s="90"/>
      <c r="Q49" s="90"/>
      <c r="R49" s="90"/>
      <c r="S49" s="90"/>
    </row>
    <row r="50" spans="2:19" x14ac:dyDescent="0.3">
      <c r="B50" s="68">
        <f>COUNTIF(graduates!F:F,0)</f>
        <v>66</v>
      </c>
      <c r="C50" s="69">
        <f>(66/300)</f>
        <v>0.22</v>
      </c>
    </row>
    <row r="54" spans="2:19" ht="18" customHeight="1" x14ac:dyDescent="0.35">
      <c r="B54" s="15" t="s">
        <v>933</v>
      </c>
      <c r="C54" s="65" t="s">
        <v>934</v>
      </c>
    </row>
    <row r="55" spans="2:19" ht="18" customHeight="1" x14ac:dyDescent="0.35">
      <c r="B55" s="15">
        <f>_xlfn.BINOM.DIST(0, graduates!E2, P_hat, FALSE())</f>
        <v>8.951195382888763E-2</v>
      </c>
      <c r="C55" s="66">
        <f>AVERAGE(Table2[Prob_Zero_Offers])</f>
        <v>0.19364018691554352</v>
      </c>
      <c r="D55" s="91" t="s">
        <v>935</v>
      </c>
      <c r="E55" s="91"/>
      <c r="F55" s="91"/>
      <c r="G55" s="91"/>
      <c r="H55" s="91"/>
      <c r="I55" s="91"/>
      <c r="J55" s="91"/>
      <c r="K55" s="91"/>
      <c r="L55" s="91"/>
      <c r="M55" s="91"/>
      <c r="N55" s="91"/>
    </row>
    <row r="56" spans="2:19" ht="14.25" customHeight="1" x14ac:dyDescent="0.3">
      <c r="B56" s="15">
        <f>_xlfn.BINOM.DIST(0, graduates!E3, P_hat, FALSE())</f>
        <v>0.12636078559378131</v>
      </c>
      <c r="D56" s="91"/>
      <c r="E56" s="91"/>
      <c r="F56" s="91"/>
      <c r="G56" s="91"/>
      <c r="H56" s="91"/>
      <c r="I56" s="91"/>
      <c r="J56" s="91"/>
      <c r="K56" s="91"/>
      <c r="L56" s="91"/>
      <c r="M56" s="91"/>
      <c r="N56" s="91"/>
    </row>
    <row r="57" spans="2:19" ht="14.25" customHeight="1" x14ac:dyDescent="0.3">
      <c r="B57" s="15">
        <f>_xlfn.BINOM.DIST(0, graduates!E4, P_hat, FALSE())</f>
        <v>8.951195382888763E-2</v>
      </c>
      <c r="D57" s="91"/>
      <c r="E57" s="91"/>
      <c r="F57" s="91"/>
      <c r="G57" s="91"/>
      <c r="H57" s="91"/>
      <c r="I57" s="91"/>
      <c r="J57" s="91"/>
      <c r="K57" s="91"/>
      <c r="L57" s="91"/>
      <c r="M57" s="91"/>
      <c r="N57" s="91"/>
    </row>
    <row r="58" spans="2:19" ht="14.25" customHeight="1" x14ac:dyDescent="0.3">
      <c r="B58" s="15">
        <f>_xlfn.BINOM.DIST(0, graduates!E5, P_hat, FALSE())</f>
        <v>0.12636078559378131</v>
      </c>
      <c r="D58" s="91"/>
      <c r="E58" s="91"/>
      <c r="F58" s="91"/>
      <c r="G58" s="91"/>
      <c r="H58" s="91"/>
      <c r="I58" s="91"/>
      <c r="J58" s="91"/>
      <c r="K58" s="91"/>
      <c r="L58" s="91"/>
      <c r="M58" s="91"/>
      <c r="N58" s="91"/>
    </row>
    <row r="59" spans="2:19" ht="14.25" customHeight="1" x14ac:dyDescent="0.3">
      <c r="B59" s="15">
        <f>_xlfn.BINOM.DIST(0, graduates!E6, P_hat, FALSE())</f>
        <v>0.17837894775931737</v>
      </c>
      <c r="D59" s="91"/>
      <c r="E59" s="91"/>
      <c r="F59" s="91"/>
      <c r="G59" s="91"/>
      <c r="H59" s="91"/>
      <c r="I59" s="91"/>
      <c r="J59" s="91"/>
      <c r="K59" s="91"/>
      <c r="L59" s="91"/>
      <c r="M59" s="91"/>
      <c r="N59" s="91"/>
    </row>
    <row r="60" spans="2:19" ht="14.25" customHeight="1" x14ac:dyDescent="0.3">
      <c r="B60" s="15">
        <f>_xlfn.BINOM.DIST(0, graduates!E7, P_hat, FALSE())</f>
        <v>0.25181110464136908</v>
      </c>
      <c r="D60" s="91"/>
      <c r="E60" s="91"/>
      <c r="F60" s="91"/>
      <c r="G60" s="91"/>
      <c r="H60" s="91"/>
      <c r="I60" s="91"/>
      <c r="J60" s="91"/>
      <c r="K60" s="91"/>
      <c r="L60" s="91"/>
      <c r="M60" s="91"/>
      <c r="N60" s="91"/>
    </row>
    <row r="61" spans="2:19" ht="14.25" customHeight="1" x14ac:dyDescent="0.3">
      <c r="B61" s="15">
        <f>_xlfn.BINOM.DIST(0, graduates!E8, P_hat, FALSE())</f>
        <v>0.50180783636903192</v>
      </c>
      <c r="D61" s="91"/>
      <c r="E61" s="91"/>
      <c r="F61" s="91"/>
      <c r="G61" s="91"/>
      <c r="H61" s="91"/>
      <c r="I61" s="91"/>
      <c r="J61" s="91"/>
      <c r="K61" s="91"/>
      <c r="L61" s="91"/>
      <c r="M61" s="91"/>
      <c r="N61" s="91"/>
    </row>
    <row r="62" spans="2:19" ht="14.25" customHeight="1" x14ac:dyDescent="0.3">
      <c r="B62" s="15">
        <f>_xlfn.BINOM.DIST(0, graduates!E9, P_hat, FALSE())</f>
        <v>0.50180783636903192</v>
      </c>
      <c r="D62" s="91"/>
      <c r="E62" s="91"/>
      <c r="F62" s="91"/>
      <c r="G62" s="91"/>
      <c r="H62" s="91"/>
      <c r="I62" s="91"/>
      <c r="J62" s="91"/>
      <c r="K62" s="91"/>
      <c r="L62" s="91"/>
      <c r="M62" s="91"/>
      <c r="N62" s="91"/>
    </row>
    <row r="63" spans="2:19" x14ac:dyDescent="0.3">
      <c r="B63" s="15">
        <f>_xlfn.BINOM.DIST(0, graduates!E10, P_hat, FALSE())</f>
        <v>4.4917799880038765E-2</v>
      </c>
    </row>
    <row r="64" spans="2:19" ht="14.25" customHeight="1" x14ac:dyDescent="0.3">
      <c r="B64" s="15">
        <f>_xlfn.BINOM.DIST(0, graduates!E11, P_hat, FALSE())</f>
        <v>0.12636078559378131</v>
      </c>
      <c r="D64" s="92" t="s">
        <v>936</v>
      </c>
      <c r="E64" s="92"/>
      <c r="F64" s="92"/>
      <c r="G64" s="92"/>
      <c r="H64" s="92"/>
      <c r="I64" s="92"/>
      <c r="J64" s="92"/>
      <c r="K64" s="92"/>
      <c r="L64" s="92"/>
      <c r="M64" s="92"/>
      <c r="N64" s="92"/>
    </row>
    <row r="65" spans="2:14" ht="14.25" customHeight="1" x14ac:dyDescent="0.3">
      <c r="B65" s="15">
        <f>_xlfn.BINOM.DIST(0, graduates!E12, P_hat, FALSE())</f>
        <v>0.12636078559378131</v>
      </c>
      <c r="D65" s="92"/>
      <c r="E65" s="92"/>
      <c r="F65" s="92"/>
      <c r="G65" s="92"/>
      <c r="H65" s="92"/>
      <c r="I65" s="92"/>
      <c r="J65" s="92"/>
      <c r="K65" s="92"/>
      <c r="L65" s="92"/>
      <c r="M65" s="92"/>
      <c r="N65" s="92"/>
    </row>
    <row r="66" spans="2:14" ht="14.25" customHeight="1" x14ac:dyDescent="0.3">
      <c r="B66" s="15">
        <f>_xlfn.BINOM.DIST(0, graduates!E13, P_hat, FALSE())</f>
        <v>3.1819049003721275E-2</v>
      </c>
      <c r="D66" s="92"/>
      <c r="E66" s="92"/>
      <c r="F66" s="92"/>
      <c r="G66" s="92"/>
      <c r="H66" s="92"/>
      <c r="I66" s="92"/>
      <c r="J66" s="92"/>
      <c r="K66" s="92"/>
      <c r="L66" s="92"/>
      <c r="M66" s="92"/>
      <c r="N66" s="92"/>
    </row>
    <row r="67" spans="2:14" ht="14.25" customHeight="1" x14ac:dyDescent="0.3">
      <c r="B67" s="15">
        <f>_xlfn.BINOM.DIST(0, graduates!E14, P_hat, FALSE())</f>
        <v>0.25181110464136908</v>
      </c>
      <c r="D67" s="92"/>
      <c r="E67" s="92"/>
      <c r="F67" s="92"/>
      <c r="G67" s="92"/>
      <c r="H67" s="92"/>
      <c r="I67" s="92"/>
      <c r="J67" s="92"/>
      <c r="K67" s="92"/>
      <c r="L67" s="92"/>
      <c r="M67" s="92"/>
      <c r="N67" s="92"/>
    </row>
    <row r="68" spans="2:14" ht="14.25" customHeight="1" x14ac:dyDescent="0.3">
      <c r="B68" s="15">
        <f>_xlfn.BINOM.DIST(0, graduates!E15, P_hat, FALSE())</f>
        <v>0.17837894775931737</v>
      </c>
      <c r="D68" s="92"/>
      <c r="E68" s="92"/>
      <c r="F68" s="92"/>
      <c r="G68" s="92"/>
      <c r="H68" s="92"/>
      <c r="I68" s="92"/>
      <c r="J68" s="92"/>
      <c r="K68" s="92"/>
      <c r="L68" s="92"/>
      <c r="M68" s="92"/>
      <c r="N68" s="92"/>
    </row>
    <row r="69" spans="2:14" ht="14.25" customHeight="1" x14ac:dyDescent="0.3">
      <c r="B69" s="15">
        <f>_xlfn.BINOM.DIST(0, graduates!E16, P_hat, FALSE())</f>
        <v>0.35547262284707848</v>
      </c>
      <c r="D69" s="92"/>
      <c r="E69" s="92"/>
      <c r="F69" s="92"/>
      <c r="G69" s="92"/>
      <c r="H69" s="92"/>
      <c r="I69" s="92"/>
      <c r="J69" s="92"/>
      <c r="K69" s="92"/>
      <c r="L69" s="92"/>
      <c r="M69" s="92"/>
      <c r="N69" s="92"/>
    </row>
    <row r="70" spans="2:14" ht="14.25" customHeight="1" x14ac:dyDescent="0.3">
      <c r="B70" s="15">
        <f>_xlfn.BINOM.DIST(0, graduates!E17, P_hat, FALSE())</f>
        <v>6.3408832420706537E-2</v>
      </c>
      <c r="D70" s="92"/>
      <c r="E70" s="92"/>
      <c r="F70" s="92"/>
      <c r="G70" s="92"/>
      <c r="H70" s="92"/>
      <c r="I70" s="92"/>
      <c r="J70" s="92"/>
      <c r="K70" s="92"/>
      <c r="L70" s="92"/>
      <c r="M70" s="92"/>
      <c r="N70" s="92"/>
    </row>
    <row r="71" spans="2:14" ht="14.25" customHeight="1" x14ac:dyDescent="0.3">
      <c r="B71" s="15">
        <f>_xlfn.BINOM.DIST(0, graduates!E18, P_hat, FALSE())</f>
        <v>8.951195382888763E-2</v>
      </c>
      <c r="D71" s="92"/>
      <c r="E71" s="92"/>
      <c r="F71" s="92"/>
      <c r="G71" s="92"/>
      <c r="H71" s="92"/>
      <c r="I71" s="92"/>
      <c r="J71" s="92"/>
      <c r="K71" s="92"/>
      <c r="L71" s="92"/>
      <c r="M71" s="92"/>
      <c r="N71" s="92"/>
    </row>
    <row r="72" spans="2:14" ht="14.25" customHeight="1" x14ac:dyDescent="0.3">
      <c r="B72" s="15">
        <f>_xlfn.BINOM.DIST(0, graduates!E19, P_hat, FALSE())</f>
        <v>0.12636078559378131</v>
      </c>
      <c r="D72" s="92"/>
      <c r="E72" s="92"/>
      <c r="F72" s="92"/>
      <c r="G72" s="92"/>
      <c r="H72" s="92"/>
      <c r="I72" s="92"/>
      <c r="J72" s="92"/>
      <c r="K72" s="92"/>
      <c r="L72" s="92"/>
      <c r="M72" s="92"/>
      <c r="N72" s="92"/>
    </row>
    <row r="73" spans="2:14" ht="14.25" customHeight="1" x14ac:dyDescent="0.3">
      <c r="B73" s="15">
        <f>_xlfn.BINOM.DIST(0, graduates!E20, P_hat, FALSE())</f>
        <v>8.951195382888763E-2</v>
      </c>
      <c r="D73" s="92"/>
      <c r="E73" s="92"/>
      <c r="F73" s="92"/>
      <c r="G73" s="92"/>
      <c r="H73" s="92"/>
      <c r="I73" s="92"/>
      <c r="J73" s="92"/>
      <c r="K73" s="92"/>
      <c r="L73" s="92"/>
      <c r="M73" s="92"/>
      <c r="N73" s="92"/>
    </row>
    <row r="74" spans="2:14" ht="14.25" customHeight="1" x14ac:dyDescent="0.3">
      <c r="B74" s="15">
        <f>_xlfn.BINOM.DIST(0, graduates!E21, P_hat, FALSE())</f>
        <v>0.7083839611178615</v>
      </c>
      <c r="D74" s="92"/>
      <c r="E74" s="92"/>
      <c r="F74" s="92"/>
      <c r="G74" s="92"/>
      <c r="H74" s="92"/>
      <c r="I74" s="92"/>
      <c r="J74" s="92"/>
      <c r="K74" s="92"/>
      <c r="L74" s="92"/>
      <c r="M74" s="92"/>
      <c r="N74" s="92"/>
    </row>
    <row r="75" spans="2:14" ht="14.25" customHeight="1" x14ac:dyDescent="0.3">
      <c r="B75" s="15">
        <f>_xlfn.BINOM.DIST(0, graduates!E22, P_hat, FALSE())</f>
        <v>6.3408832420706537E-2</v>
      </c>
      <c r="D75" s="92"/>
      <c r="E75" s="92"/>
      <c r="F75" s="92"/>
      <c r="G75" s="92"/>
      <c r="H75" s="92"/>
      <c r="I75" s="92"/>
      <c r="J75" s="92"/>
      <c r="K75" s="92"/>
      <c r="L75" s="92"/>
      <c r="M75" s="92"/>
      <c r="N75" s="92"/>
    </row>
    <row r="76" spans="2:14" ht="14.25" customHeight="1" x14ac:dyDescent="0.3">
      <c r="B76" s="15">
        <f>_xlfn.BINOM.DIST(0, graduates!E23, P_hat, FALSE())</f>
        <v>0.17837894775931737</v>
      </c>
      <c r="D76" s="92"/>
      <c r="E76" s="92"/>
      <c r="F76" s="92"/>
      <c r="G76" s="92"/>
      <c r="H76" s="92"/>
      <c r="I76" s="92"/>
      <c r="J76" s="92"/>
      <c r="K76" s="92"/>
      <c r="L76" s="92"/>
      <c r="M76" s="92"/>
      <c r="N76" s="92"/>
    </row>
    <row r="77" spans="2:14" ht="14.25" customHeight="1" x14ac:dyDescent="0.3">
      <c r="B77" s="15">
        <f>_xlfn.BINOM.DIST(0, graduates!E24, P_hat, FALSE())</f>
        <v>0.17837894775931737</v>
      </c>
      <c r="D77" s="92"/>
      <c r="E77" s="92"/>
      <c r="F77" s="92"/>
      <c r="G77" s="92"/>
      <c r="H77" s="92"/>
      <c r="I77" s="92"/>
      <c r="J77" s="92"/>
      <c r="K77" s="92"/>
      <c r="L77" s="92"/>
      <c r="M77" s="92"/>
      <c r="N77" s="92"/>
    </row>
    <row r="78" spans="2:14" ht="14.25" customHeight="1" x14ac:dyDescent="0.3">
      <c r="B78" s="15">
        <f>_xlfn.BINOM.DIST(0, graduates!E25, P_hat, FALSE())</f>
        <v>0.50180783636903192</v>
      </c>
      <c r="D78" s="92"/>
      <c r="E78" s="92"/>
      <c r="F78" s="92"/>
      <c r="G78" s="92"/>
      <c r="H78" s="92"/>
      <c r="I78" s="92"/>
      <c r="J78" s="92"/>
      <c r="K78" s="92"/>
      <c r="L78" s="92"/>
      <c r="M78" s="92"/>
      <c r="N78" s="92"/>
    </row>
    <row r="79" spans="2:14" ht="14.25" customHeight="1" x14ac:dyDescent="0.3">
      <c r="B79" s="15">
        <f>_xlfn.BINOM.DIST(0, graduates!E26, P_hat, FALSE())</f>
        <v>4.4917799880038765E-2</v>
      </c>
      <c r="D79" s="92"/>
      <c r="E79" s="92"/>
      <c r="F79" s="92"/>
      <c r="G79" s="92"/>
      <c r="H79" s="92"/>
      <c r="I79" s="92"/>
      <c r="J79" s="92"/>
      <c r="K79" s="92"/>
      <c r="L79" s="92"/>
      <c r="M79" s="92"/>
      <c r="N79" s="92"/>
    </row>
    <row r="80" spans="2:14" ht="14.25" customHeight="1" x14ac:dyDescent="0.3">
      <c r="B80" s="15">
        <f>_xlfn.BINOM.DIST(0, graduates!E27, P_hat, FALSE())</f>
        <v>0.17837894775931737</v>
      </c>
      <c r="D80" s="92"/>
      <c r="E80" s="92"/>
      <c r="F80" s="92"/>
      <c r="G80" s="92"/>
      <c r="H80" s="92"/>
      <c r="I80" s="92"/>
      <c r="J80" s="92"/>
      <c r="K80" s="92"/>
      <c r="L80" s="92"/>
      <c r="M80" s="92"/>
      <c r="N80" s="92"/>
    </row>
    <row r="81" spans="2:14" ht="14.25" customHeight="1" x14ac:dyDescent="0.3">
      <c r="B81" s="15">
        <f>_xlfn.BINOM.DIST(0, graduates!E28, P_hat, FALSE())</f>
        <v>0.35547262284707848</v>
      </c>
      <c r="D81" s="92"/>
      <c r="E81" s="92"/>
      <c r="F81" s="92"/>
      <c r="G81" s="92"/>
      <c r="H81" s="92"/>
      <c r="I81" s="92"/>
      <c r="J81" s="92"/>
      <c r="K81" s="92"/>
      <c r="L81" s="92"/>
      <c r="M81" s="92"/>
      <c r="N81" s="92"/>
    </row>
    <row r="82" spans="2:14" x14ac:dyDescent="0.3">
      <c r="B82" s="15">
        <f>_xlfn.BINOM.DIST(0, graduates!E29, P_hat, FALSE())</f>
        <v>0.35547262284707848</v>
      </c>
    </row>
    <row r="83" spans="2:14" x14ac:dyDescent="0.3">
      <c r="B83" s="15">
        <f>_xlfn.BINOM.DIST(0, graduates!E30, P_hat, FALSE())</f>
        <v>4.4917799880038765E-2</v>
      </c>
    </row>
    <row r="84" spans="2:14" x14ac:dyDescent="0.3">
      <c r="B84" s="15">
        <f>_xlfn.BINOM.DIST(0, graduates!E31, P_hat, FALSE())</f>
        <v>0.12636078559378131</v>
      </c>
    </row>
    <row r="85" spans="2:14" x14ac:dyDescent="0.3">
      <c r="B85" s="15">
        <f>_xlfn.BINOM.DIST(0, graduates!E32, P_hat, FALSE())</f>
        <v>0.35547262284707848</v>
      </c>
    </row>
    <row r="86" spans="2:14" x14ac:dyDescent="0.3">
      <c r="B86" s="15">
        <f>_xlfn.BINOM.DIST(0, graduates!E33, P_hat, FALSE())</f>
        <v>8.951195382888763E-2</v>
      </c>
    </row>
    <row r="87" spans="2:14" x14ac:dyDescent="0.3">
      <c r="B87" s="15">
        <f>_xlfn.BINOM.DIST(0, graduates!E34, P_hat, FALSE())</f>
        <v>0.17837894775931737</v>
      </c>
    </row>
    <row r="88" spans="2:14" x14ac:dyDescent="0.3">
      <c r="B88" s="15">
        <f>_xlfn.BINOM.DIST(0, graduates!E35, P_hat, FALSE())</f>
        <v>0.12636078559378131</v>
      </c>
    </row>
    <row r="89" spans="2:14" x14ac:dyDescent="0.3">
      <c r="B89" s="15">
        <f>_xlfn.BINOM.DIST(0, graduates!E36, P_hat, FALSE())</f>
        <v>0.17837894775931737</v>
      </c>
    </row>
    <row r="90" spans="2:14" x14ac:dyDescent="0.3">
      <c r="B90" s="15">
        <f>_xlfn.BINOM.DIST(0, graduates!E37, P_hat, FALSE())</f>
        <v>0.12636078559378131</v>
      </c>
    </row>
    <row r="91" spans="2:14" x14ac:dyDescent="0.3">
      <c r="B91" s="15">
        <f>_xlfn.BINOM.DIST(0, graduates!E38, P_hat, FALSE())</f>
        <v>0.12636078559378131</v>
      </c>
    </row>
    <row r="92" spans="2:14" x14ac:dyDescent="0.3">
      <c r="B92" s="15">
        <f>_xlfn.BINOM.DIST(0, graduates!E39, P_hat, FALSE())</f>
        <v>0.25181110464136908</v>
      </c>
    </row>
    <row r="93" spans="2:14" x14ac:dyDescent="0.3">
      <c r="B93" s="15">
        <f>_xlfn.BINOM.DIST(0, graduates!E40, P_hat, FALSE())</f>
        <v>0.17837894775931737</v>
      </c>
    </row>
    <row r="94" spans="2:14" x14ac:dyDescent="0.3">
      <c r="B94" s="15">
        <f>_xlfn.BINOM.DIST(0, graduates!E41, P_hat, FALSE())</f>
        <v>0.17837894775931737</v>
      </c>
    </row>
    <row r="95" spans="2:14" x14ac:dyDescent="0.3">
      <c r="B95" s="15">
        <f>_xlfn.BINOM.DIST(0, graduates!E42, P_hat, FALSE())</f>
        <v>0.35547262284707848</v>
      </c>
    </row>
    <row r="96" spans="2:14" x14ac:dyDescent="0.3">
      <c r="B96" s="15">
        <f>_xlfn.BINOM.DIST(0, graduates!E43, P_hat, FALSE())</f>
        <v>8.951195382888763E-2</v>
      </c>
    </row>
    <row r="97" spans="2:2" x14ac:dyDescent="0.3">
      <c r="B97" s="15">
        <f>_xlfn.BINOM.DIST(0, graduates!E44, P_hat, FALSE())</f>
        <v>4.4917799880038765E-2</v>
      </c>
    </row>
    <row r="98" spans="2:2" x14ac:dyDescent="0.3">
      <c r="B98" s="15">
        <f>_xlfn.BINOM.DIST(0, graduates!E45, P_hat, FALSE())</f>
        <v>0.25181110464136908</v>
      </c>
    </row>
    <row r="99" spans="2:2" x14ac:dyDescent="0.3">
      <c r="B99" s="15">
        <f>_xlfn.BINOM.DIST(0, graduates!E46, P_hat, FALSE())</f>
        <v>8.951195382888763E-2</v>
      </c>
    </row>
    <row r="100" spans="2:2" x14ac:dyDescent="0.3">
      <c r="B100" s="15">
        <f>_xlfn.BINOM.DIST(0, graduates!E47, P_hat, FALSE())</f>
        <v>3.1819049003721275E-2</v>
      </c>
    </row>
    <row r="101" spans="2:2" x14ac:dyDescent="0.3">
      <c r="B101" s="15">
        <f>_xlfn.BINOM.DIST(0, graduates!E48, P_hat, FALSE())</f>
        <v>0.12636078559378131</v>
      </c>
    </row>
    <row r="102" spans="2:2" x14ac:dyDescent="0.3">
      <c r="B102" s="15">
        <f>_xlfn.BINOM.DIST(0, graduates!E49, P_hat, FALSE())</f>
        <v>4.4917799880038765E-2</v>
      </c>
    </row>
    <row r="103" spans="2:2" x14ac:dyDescent="0.3">
      <c r="B103" s="15">
        <f>_xlfn.BINOM.DIST(0, graduates!E50, P_hat, FALSE())</f>
        <v>6.3408832420706537E-2</v>
      </c>
    </row>
    <row r="104" spans="2:2" x14ac:dyDescent="0.3">
      <c r="B104" s="15">
        <f>_xlfn.BINOM.DIST(0, graduates!E51, P_hat, FALSE())</f>
        <v>0.17837894775931737</v>
      </c>
    </row>
    <row r="105" spans="2:2" x14ac:dyDescent="0.3">
      <c r="B105" s="15">
        <f>_xlfn.BINOM.DIST(0, graduates!E52, P_hat, FALSE())</f>
        <v>0.25181110464136908</v>
      </c>
    </row>
    <row r="106" spans="2:2" x14ac:dyDescent="0.3">
      <c r="B106" s="15">
        <f>_xlfn.BINOM.DIST(0, graduates!E53, P_hat, FALSE())</f>
        <v>0.12636078559378131</v>
      </c>
    </row>
    <row r="107" spans="2:2" x14ac:dyDescent="0.3">
      <c r="B107" s="15">
        <f>_xlfn.BINOM.DIST(0, graduates!E54, P_hat, FALSE())</f>
        <v>0.12636078559378131</v>
      </c>
    </row>
    <row r="108" spans="2:2" x14ac:dyDescent="0.3">
      <c r="B108" s="15">
        <f>_xlfn.BINOM.DIST(0, graduates!E55, P_hat, FALSE())</f>
        <v>4.4917799880038765E-2</v>
      </c>
    </row>
    <row r="109" spans="2:2" x14ac:dyDescent="0.3">
      <c r="B109" s="15">
        <f>_xlfn.BINOM.DIST(0, graduates!E56, P_hat, FALSE())</f>
        <v>0.12636078559378131</v>
      </c>
    </row>
    <row r="110" spans="2:2" x14ac:dyDescent="0.3">
      <c r="B110" s="15">
        <f>_xlfn.BINOM.DIST(0, graduates!E57, P_hat, FALSE())</f>
        <v>4.4917799880038765E-2</v>
      </c>
    </row>
    <row r="111" spans="2:2" x14ac:dyDescent="0.3">
      <c r="B111" s="15">
        <f>_xlfn.BINOM.DIST(0, graduates!E58, P_hat, FALSE())</f>
        <v>0.50180783636903192</v>
      </c>
    </row>
    <row r="112" spans="2:2" x14ac:dyDescent="0.3">
      <c r="B112" s="15">
        <f>_xlfn.BINOM.DIST(0, graduates!E59, P_hat, FALSE())</f>
        <v>6.3408832420706537E-2</v>
      </c>
    </row>
    <row r="113" spans="2:2" x14ac:dyDescent="0.3">
      <c r="B113" s="15">
        <f>_xlfn.BINOM.DIST(0, graduates!E60, P_hat, FALSE())</f>
        <v>0.25181110464136908</v>
      </c>
    </row>
    <row r="114" spans="2:2" x14ac:dyDescent="0.3">
      <c r="B114" s="15">
        <f>_xlfn.BINOM.DIST(0, graduates!E61, P_hat, FALSE())</f>
        <v>0.17837894775931737</v>
      </c>
    </row>
    <row r="115" spans="2:2" x14ac:dyDescent="0.3">
      <c r="B115" s="15">
        <f>_xlfn.BINOM.DIST(0, graduates!E62, P_hat, FALSE())</f>
        <v>1.5967048135877567E-2</v>
      </c>
    </row>
    <row r="116" spans="2:2" x14ac:dyDescent="0.3">
      <c r="B116" s="15">
        <f>_xlfn.BINOM.DIST(0, graduates!E63, P_hat, FALSE())</f>
        <v>0.12636078559378131</v>
      </c>
    </row>
    <row r="117" spans="2:2" x14ac:dyDescent="0.3">
      <c r="B117" s="15">
        <f>_xlfn.BINOM.DIST(0, graduates!E64, P_hat, FALSE())</f>
        <v>0.17837894775931737</v>
      </c>
    </row>
    <row r="118" spans="2:2" x14ac:dyDescent="0.3">
      <c r="B118" s="15">
        <f>_xlfn.BINOM.DIST(0, graduates!E65, P_hat, FALSE())</f>
        <v>6.3408832420706537E-2</v>
      </c>
    </row>
    <row r="119" spans="2:2" x14ac:dyDescent="0.3">
      <c r="B119" s="15">
        <f>_xlfn.BINOM.DIST(0, graduates!E66, P_hat, FALSE())</f>
        <v>3.1819049003721275E-2</v>
      </c>
    </row>
    <row r="120" spans="2:2" x14ac:dyDescent="0.3">
      <c r="B120" s="15">
        <f>_xlfn.BINOM.DIST(0, graduates!E67, P_hat, FALSE())</f>
        <v>0.35547262284707848</v>
      </c>
    </row>
    <row r="121" spans="2:2" x14ac:dyDescent="0.3">
      <c r="B121" s="15">
        <f>_xlfn.BINOM.DIST(0, graduates!E68, P_hat, FALSE())</f>
        <v>0.12636078559378131</v>
      </c>
    </row>
    <row r="122" spans="2:2" x14ac:dyDescent="0.3">
      <c r="B122" s="15">
        <f>_xlfn.BINOM.DIST(0, graduates!E69, P_hat, FALSE())</f>
        <v>0.35547262284707848</v>
      </c>
    </row>
    <row r="123" spans="2:2" x14ac:dyDescent="0.3">
      <c r="B123" s="15">
        <f>_xlfn.BINOM.DIST(0, graduates!E70, P_hat, FALSE())</f>
        <v>0.25181110464136908</v>
      </c>
    </row>
    <row r="124" spans="2:2" x14ac:dyDescent="0.3">
      <c r="B124" s="15">
        <f>_xlfn.BINOM.DIST(0, graduates!E71, P_hat, FALSE())</f>
        <v>0.25181110464136908</v>
      </c>
    </row>
    <row r="125" spans="2:2" x14ac:dyDescent="0.3">
      <c r="B125" s="15">
        <f>_xlfn.BINOM.DIST(0, graduates!E72, P_hat, FALSE())</f>
        <v>0.35547262284707848</v>
      </c>
    </row>
    <row r="126" spans="2:2" x14ac:dyDescent="0.3">
      <c r="B126" s="15">
        <f>_xlfn.BINOM.DIST(0, graduates!E73, P_hat, FALSE())</f>
        <v>0.25181110464136908</v>
      </c>
    </row>
    <row r="127" spans="2:2" x14ac:dyDescent="0.3">
      <c r="B127" s="15">
        <f>_xlfn.BINOM.DIST(0, graduates!E74, P_hat, FALSE())</f>
        <v>0.12636078559378131</v>
      </c>
    </row>
    <row r="128" spans="2:2" x14ac:dyDescent="0.3">
      <c r="B128" s="15">
        <f>_xlfn.BINOM.DIST(0, graduates!E75, P_hat, FALSE())</f>
        <v>0.17837894775931737</v>
      </c>
    </row>
    <row r="129" spans="2:2" x14ac:dyDescent="0.3">
      <c r="B129" s="15">
        <f>_xlfn.BINOM.DIST(0, graduates!E76, P_hat, FALSE())</f>
        <v>0.12636078559378131</v>
      </c>
    </row>
    <row r="130" spans="2:2" x14ac:dyDescent="0.3">
      <c r="B130" s="15">
        <f>_xlfn.BINOM.DIST(0, graduates!E77, P_hat, FALSE())</f>
        <v>3.1819049003721275E-2</v>
      </c>
    </row>
    <row r="131" spans="2:2" x14ac:dyDescent="0.3">
      <c r="B131" s="15">
        <f>_xlfn.BINOM.DIST(0, graduates!E78, P_hat, FALSE())</f>
        <v>0.17837894775931737</v>
      </c>
    </row>
    <row r="132" spans="2:2" x14ac:dyDescent="0.3">
      <c r="B132" s="15">
        <f>_xlfn.BINOM.DIST(0, graduates!E79, P_hat, FALSE())</f>
        <v>8.951195382888763E-2</v>
      </c>
    </row>
    <row r="133" spans="2:2" x14ac:dyDescent="0.3">
      <c r="B133" s="15">
        <f>_xlfn.BINOM.DIST(0, graduates!E80, P_hat, FALSE())</f>
        <v>6.3408832420706537E-2</v>
      </c>
    </row>
    <row r="134" spans="2:2" x14ac:dyDescent="0.3">
      <c r="B134" s="15">
        <f>_xlfn.BINOM.DIST(0, graduates!E81, P_hat, FALSE())</f>
        <v>0.17837894775931737</v>
      </c>
    </row>
    <row r="135" spans="2:2" x14ac:dyDescent="0.3">
      <c r="B135" s="15">
        <f>_xlfn.BINOM.DIST(0, graduates!E82, P_hat, FALSE())</f>
        <v>0.35547262284707848</v>
      </c>
    </row>
    <row r="136" spans="2:2" x14ac:dyDescent="0.3">
      <c r="B136" s="15">
        <f>_xlfn.BINOM.DIST(0, graduates!E83, P_hat, FALSE())</f>
        <v>0.17837894775931737</v>
      </c>
    </row>
    <row r="137" spans="2:2" x14ac:dyDescent="0.3">
      <c r="B137" s="15">
        <f>_xlfn.BINOM.DIST(0, graduates!E84, P_hat, FALSE())</f>
        <v>0.17837894775931737</v>
      </c>
    </row>
    <row r="138" spans="2:2" x14ac:dyDescent="0.3">
      <c r="B138" s="15">
        <f>_xlfn.BINOM.DIST(0, graduates!E85, P_hat, FALSE())</f>
        <v>0.12636078559378131</v>
      </c>
    </row>
    <row r="139" spans="2:2" x14ac:dyDescent="0.3">
      <c r="B139" s="15">
        <f>_xlfn.BINOM.DIST(0, graduates!E86, P_hat, FALSE())</f>
        <v>0.17837894775931737</v>
      </c>
    </row>
    <row r="140" spans="2:2" x14ac:dyDescent="0.3">
      <c r="B140" s="15">
        <f>_xlfn.BINOM.DIST(0, graduates!E87, P_hat, FALSE())</f>
        <v>0.50180783636903192</v>
      </c>
    </row>
    <row r="141" spans="2:2" x14ac:dyDescent="0.3">
      <c r="B141" s="15">
        <f>_xlfn.BINOM.DIST(0, graduates!E88, P_hat, FALSE())</f>
        <v>0.25181110464136908</v>
      </c>
    </row>
    <row r="142" spans="2:2" x14ac:dyDescent="0.3">
      <c r="B142" s="15">
        <f>_xlfn.BINOM.DIST(0, graduates!E89, P_hat, FALSE())</f>
        <v>0.12636078559378131</v>
      </c>
    </row>
    <row r="143" spans="2:2" x14ac:dyDescent="0.3">
      <c r="B143" s="15">
        <f>_xlfn.BINOM.DIST(0, graduates!E90, P_hat, FALSE())</f>
        <v>0.17837894775931737</v>
      </c>
    </row>
    <row r="144" spans="2:2" x14ac:dyDescent="0.3">
      <c r="B144" s="15">
        <f>_xlfn.BINOM.DIST(0, graduates!E91, P_hat, FALSE())</f>
        <v>3.1819049003721275E-2</v>
      </c>
    </row>
    <row r="145" spans="2:2" x14ac:dyDescent="0.3">
      <c r="B145" s="15">
        <f>_xlfn.BINOM.DIST(0, graduates!E92, P_hat, FALSE())</f>
        <v>0.25181110464136908</v>
      </c>
    </row>
    <row r="146" spans="2:2" x14ac:dyDescent="0.3">
      <c r="B146" s="15">
        <f>_xlfn.BINOM.DIST(0, graduates!E93, P_hat, FALSE())</f>
        <v>0.50180783636903192</v>
      </c>
    </row>
    <row r="147" spans="2:2" x14ac:dyDescent="0.3">
      <c r="B147" s="15">
        <f>_xlfn.BINOM.DIST(0, graduates!E94, P_hat, FALSE())</f>
        <v>0.17837894775931737</v>
      </c>
    </row>
    <row r="148" spans="2:2" x14ac:dyDescent="0.3">
      <c r="B148" s="15">
        <f>_xlfn.BINOM.DIST(0, graduates!E95, P_hat, FALSE())</f>
        <v>8.951195382888763E-2</v>
      </c>
    </row>
    <row r="149" spans="2:2" x14ac:dyDescent="0.3">
      <c r="B149" s="15">
        <f>_xlfn.BINOM.DIST(0, graduates!E96, P_hat, FALSE())</f>
        <v>0.12636078559378131</v>
      </c>
    </row>
    <row r="150" spans="2:2" x14ac:dyDescent="0.3">
      <c r="B150" s="15">
        <f>_xlfn.BINOM.DIST(0, graduates!E97, P_hat, FALSE())</f>
        <v>4.4917799880038765E-2</v>
      </c>
    </row>
    <row r="151" spans="2:2" x14ac:dyDescent="0.3">
      <c r="B151" s="15">
        <f>_xlfn.BINOM.DIST(0, graduates!E98, P_hat, FALSE())</f>
        <v>8.951195382888763E-2</v>
      </c>
    </row>
    <row r="152" spans="2:2" x14ac:dyDescent="0.3">
      <c r="B152" s="15">
        <f>_xlfn.BINOM.DIST(0, graduates!E99, P_hat, FALSE())</f>
        <v>0.25181110464136908</v>
      </c>
    </row>
    <row r="153" spans="2:2" x14ac:dyDescent="0.3">
      <c r="B153" s="15">
        <f>_xlfn.BINOM.DIST(0, graduates!E100, P_hat, FALSE())</f>
        <v>0.17837894775931737</v>
      </c>
    </row>
    <row r="154" spans="2:2" x14ac:dyDescent="0.3">
      <c r="B154" s="15">
        <f>_xlfn.BINOM.DIST(0, graduates!E101, P_hat, FALSE())</f>
        <v>0.25181110464136908</v>
      </c>
    </row>
    <row r="155" spans="2:2" x14ac:dyDescent="0.3">
      <c r="B155" s="15">
        <f>_xlfn.BINOM.DIST(0, graduates!E102, P_hat, FALSE())</f>
        <v>0.12636078559378131</v>
      </c>
    </row>
    <row r="156" spans="2:2" x14ac:dyDescent="0.3">
      <c r="B156" s="15">
        <f>_xlfn.BINOM.DIST(0, graduates!E103, P_hat, FALSE())</f>
        <v>0.50180783636903192</v>
      </c>
    </row>
    <row r="157" spans="2:2" x14ac:dyDescent="0.3">
      <c r="B157" s="15">
        <f>_xlfn.BINOM.DIST(0, graduates!E104, P_hat, FALSE())</f>
        <v>0.35547262284707848</v>
      </c>
    </row>
    <row r="158" spans="2:2" x14ac:dyDescent="0.3">
      <c r="B158" s="15">
        <f>_xlfn.BINOM.DIST(0, graduates!E105, P_hat, FALSE())</f>
        <v>0.25181110464136908</v>
      </c>
    </row>
    <row r="159" spans="2:2" x14ac:dyDescent="0.3">
      <c r="B159" s="15">
        <f>_xlfn.BINOM.DIST(0, graduates!E106, P_hat, FALSE())</f>
        <v>0.17837894775931737</v>
      </c>
    </row>
    <row r="160" spans="2:2" x14ac:dyDescent="0.3">
      <c r="B160" s="15">
        <f>_xlfn.BINOM.DIST(0, graduates!E107, P_hat, FALSE())</f>
        <v>3.1819049003721275E-2</v>
      </c>
    </row>
    <row r="161" spans="2:2" x14ac:dyDescent="0.3">
      <c r="B161" s="15">
        <f>_xlfn.BINOM.DIST(0, graduates!E108, P_hat, FALSE())</f>
        <v>0.12636078559378131</v>
      </c>
    </row>
    <row r="162" spans="2:2" x14ac:dyDescent="0.3">
      <c r="B162" s="15">
        <f>_xlfn.BINOM.DIST(0, graduates!E109, P_hat, FALSE())</f>
        <v>0.12636078559378131</v>
      </c>
    </row>
    <row r="163" spans="2:2" x14ac:dyDescent="0.3">
      <c r="B163" s="15">
        <f>_xlfn.BINOM.DIST(0, graduates!E110, P_hat, FALSE())</f>
        <v>0.17837894775931737</v>
      </c>
    </row>
    <row r="164" spans="2:2" x14ac:dyDescent="0.3">
      <c r="B164" s="15">
        <f>_xlfn.BINOM.DIST(0, graduates!E111, P_hat, FALSE())</f>
        <v>0.17837894775931737</v>
      </c>
    </row>
    <row r="165" spans="2:2" x14ac:dyDescent="0.3">
      <c r="B165" s="15">
        <f>_xlfn.BINOM.DIST(0, graduates!E112, P_hat, FALSE())</f>
        <v>8.0123898782649104E-3</v>
      </c>
    </row>
    <row r="166" spans="2:2" x14ac:dyDescent="0.3">
      <c r="B166" s="15">
        <f>_xlfn.BINOM.DIST(0, graduates!E113, P_hat, FALSE())</f>
        <v>8.951195382888763E-2</v>
      </c>
    </row>
    <row r="167" spans="2:2" x14ac:dyDescent="0.3">
      <c r="B167" s="15">
        <f>_xlfn.BINOM.DIST(0, graduates!E114, P_hat, FALSE())</f>
        <v>0.12636078559378131</v>
      </c>
    </row>
    <row r="168" spans="2:2" x14ac:dyDescent="0.3">
      <c r="B168" s="15">
        <f>_xlfn.BINOM.DIST(0, graduates!E115, P_hat, FALSE())</f>
        <v>0.17837894775931737</v>
      </c>
    </row>
    <row r="169" spans="2:2" x14ac:dyDescent="0.3">
      <c r="B169" s="15">
        <f>_xlfn.BINOM.DIST(0, graduates!E116, P_hat, FALSE())</f>
        <v>8.951195382888763E-2</v>
      </c>
    </row>
    <row r="170" spans="2:2" x14ac:dyDescent="0.3">
      <c r="B170" s="15">
        <f>_xlfn.BINOM.DIST(0, graduates!E117, P_hat, FALSE())</f>
        <v>4.4917799880038765E-2</v>
      </c>
    </row>
    <row r="171" spans="2:2" x14ac:dyDescent="0.3">
      <c r="B171" s="15">
        <f>_xlfn.BINOM.DIST(0, graduates!E118, P_hat, FALSE())</f>
        <v>8.951195382888763E-2</v>
      </c>
    </row>
    <row r="172" spans="2:2" x14ac:dyDescent="0.3">
      <c r="B172" s="15">
        <f>_xlfn.BINOM.DIST(0, graduates!E119, P_hat, FALSE())</f>
        <v>8.951195382888763E-2</v>
      </c>
    </row>
    <row r="173" spans="2:2" x14ac:dyDescent="0.3">
      <c r="B173" s="15">
        <f>_xlfn.BINOM.DIST(0, graduates!E120, P_hat, FALSE())</f>
        <v>0.35547262284707848</v>
      </c>
    </row>
    <row r="174" spans="2:2" x14ac:dyDescent="0.3">
      <c r="B174" s="15">
        <f>_xlfn.BINOM.DIST(0, graduates!E121, P_hat, FALSE())</f>
        <v>0.50180783636903192</v>
      </c>
    </row>
    <row r="175" spans="2:2" x14ac:dyDescent="0.3">
      <c r="B175" s="15">
        <f>_xlfn.BINOM.DIST(0, graduates!E122, P_hat, FALSE())</f>
        <v>8.951195382888763E-2</v>
      </c>
    </row>
    <row r="176" spans="2:2" x14ac:dyDescent="0.3">
      <c r="B176" s="15">
        <f>_xlfn.BINOM.DIST(0, graduates!E123, P_hat, FALSE())</f>
        <v>0.25181110464136908</v>
      </c>
    </row>
    <row r="177" spans="2:2" x14ac:dyDescent="0.3">
      <c r="B177" s="15">
        <f>_xlfn.BINOM.DIST(0, graduates!E124, P_hat, FALSE())</f>
        <v>0.35547262284707848</v>
      </c>
    </row>
    <row r="178" spans="2:2" x14ac:dyDescent="0.3">
      <c r="B178" s="15">
        <f>_xlfn.BINOM.DIST(0, graduates!E125, P_hat, FALSE())</f>
        <v>0.25181110464136908</v>
      </c>
    </row>
    <row r="179" spans="2:2" x14ac:dyDescent="0.3">
      <c r="B179" s="15">
        <f>_xlfn.BINOM.DIST(0, graduates!E126, P_hat, FALSE())</f>
        <v>8.951195382888763E-2</v>
      </c>
    </row>
    <row r="180" spans="2:2" x14ac:dyDescent="0.3">
      <c r="B180" s="15">
        <f>_xlfn.BINOM.DIST(0, graduates!E127, P_hat, FALSE())</f>
        <v>0.17837894775931737</v>
      </c>
    </row>
    <row r="181" spans="2:2" x14ac:dyDescent="0.3">
      <c r="B181" s="15">
        <f>_xlfn.BINOM.DIST(0, graduates!E128, P_hat, FALSE())</f>
        <v>8.951195382888763E-2</v>
      </c>
    </row>
    <row r="182" spans="2:2" x14ac:dyDescent="0.3">
      <c r="B182" s="15">
        <f>_xlfn.BINOM.DIST(0, graduates!E129, P_hat, FALSE())</f>
        <v>0.12636078559378131</v>
      </c>
    </row>
    <row r="183" spans="2:2" x14ac:dyDescent="0.3">
      <c r="B183" s="15">
        <f>_xlfn.BINOM.DIST(0, graduates!E130, P_hat, FALSE())</f>
        <v>3.1819049003721275E-2</v>
      </c>
    </row>
    <row r="184" spans="2:2" x14ac:dyDescent="0.3">
      <c r="B184" s="15">
        <f>_xlfn.BINOM.DIST(0, graduates!E131, P_hat, FALSE())</f>
        <v>0.50180783636903192</v>
      </c>
    </row>
    <row r="185" spans="2:2" x14ac:dyDescent="0.3">
      <c r="B185" s="15">
        <f>_xlfn.BINOM.DIST(0, graduates!E132, P_hat, FALSE())</f>
        <v>0.25181110464136908</v>
      </c>
    </row>
    <row r="186" spans="2:2" x14ac:dyDescent="0.3">
      <c r="B186" s="15">
        <f>_xlfn.BINOM.DIST(0, graduates!E133, P_hat, FALSE())</f>
        <v>0.35547262284707848</v>
      </c>
    </row>
    <row r="187" spans="2:2" x14ac:dyDescent="0.3">
      <c r="B187" s="15">
        <f>_xlfn.BINOM.DIST(0, graduates!E134, P_hat, FALSE())</f>
        <v>0.35547262284707848</v>
      </c>
    </row>
    <row r="188" spans="2:2" x14ac:dyDescent="0.3">
      <c r="B188" s="15">
        <f>_xlfn.BINOM.DIST(0, graduates!E135, P_hat, FALSE())</f>
        <v>0.35547262284707848</v>
      </c>
    </row>
    <row r="189" spans="2:2" x14ac:dyDescent="0.3">
      <c r="B189" s="15">
        <f>_xlfn.BINOM.DIST(0, graduates!E136, P_hat, FALSE())</f>
        <v>0.12636078559378131</v>
      </c>
    </row>
    <row r="190" spans="2:2" x14ac:dyDescent="0.3">
      <c r="B190" s="15">
        <f>_xlfn.BINOM.DIST(0, graduates!E137, P_hat, FALSE())</f>
        <v>0.17837894775931737</v>
      </c>
    </row>
    <row r="191" spans="2:2" x14ac:dyDescent="0.3">
      <c r="B191" s="15">
        <f>_xlfn.BINOM.DIST(0, graduates!E138, P_hat, FALSE())</f>
        <v>4.4917799880038765E-2</v>
      </c>
    </row>
    <row r="192" spans="2:2" x14ac:dyDescent="0.3">
      <c r="B192" s="15">
        <f>_xlfn.BINOM.DIST(0, graduates!E139, P_hat, FALSE())</f>
        <v>0.25181110464136908</v>
      </c>
    </row>
    <row r="193" spans="2:2" x14ac:dyDescent="0.3">
      <c r="B193" s="15">
        <f>_xlfn.BINOM.DIST(0, graduates!E140, P_hat, FALSE())</f>
        <v>0.17837894775931737</v>
      </c>
    </row>
    <row r="194" spans="2:2" x14ac:dyDescent="0.3">
      <c r="B194" s="15">
        <f>_xlfn.BINOM.DIST(0, graduates!E141, P_hat, FALSE())</f>
        <v>0.35547262284707848</v>
      </c>
    </row>
    <row r="195" spans="2:2" x14ac:dyDescent="0.3">
      <c r="B195" s="15">
        <f>_xlfn.BINOM.DIST(0, graduates!E142, P_hat, FALSE())</f>
        <v>0.17837894775931737</v>
      </c>
    </row>
    <row r="196" spans="2:2" x14ac:dyDescent="0.3">
      <c r="B196" s="15">
        <f>_xlfn.BINOM.DIST(0, graduates!E143, P_hat, FALSE())</f>
        <v>0.17837894775931737</v>
      </c>
    </row>
    <row r="197" spans="2:2" x14ac:dyDescent="0.3">
      <c r="B197" s="15">
        <f>_xlfn.BINOM.DIST(0, graduates!E144, P_hat, FALSE())</f>
        <v>0.25181110464136908</v>
      </c>
    </row>
    <row r="198" spans="2:2" x14ac:dyDescent="0.3">
      <c r="B198" s="15">
        <f>_xlfn.BINOM.DIST(0, graduates!E145, P_hat, FALSE())</f>
        <v>0.12636078559378131</v>
      </c>
    </row>
    <row r="199" spans="2:2" x14ac:dyDescent="0.3">
      <c r="B199" s="15">
        <f>_xlfn.BINOM.DIST(0, graduates!E146, P_hat, FALSE())</f>
        <v>0.35547262284707848</v>
      </c>
    </row>
    <row r="200" spans="2:2" x14ac:dyDescent="0.3">
      <c r="B200" s="15">
        <f>_xlfn.BINOM.DIST(0, graduates!E147, P_hat, FALSE())</f>
        <v>0.12636078559378131</v>
      </c>
    </row>
    <row r="201" spans="2:2" x14ac:dyDescent="0.3">
      <c r="B201" s="15">
        <f>_xlfn.BINOM.DIST(0, graduates!E148, P_hat, FALSE())</f>
        <v>0.12636078559378131</v>
      </c>
    </row>
    <row r="202" spans="2:2" x14ac:dyDescent="0.3">
      <c r="B202" s="15">
        <f>_xlfn.BINOM.DIST(0, graduates!E149, P_hat, FALSE())</f>
        <v>0.12636078559378131</v>
      </c>
    </row>
    <row r="203" spans="2:2" x14ac:dyDescent="0.3">
      <c r="B203" s="15">
        <f>_xlfn.BINOM.DIST(0, graduates!E150, P_hat, FALSE())</f>
        <v>0.17837894775931737</v>
      </c>
    </row>
    <row r="204" spans="2:2" x14ac:dyDescent="0.3">
      <c r="B204" s="15">
        <f>_xlfn.BINOM.DIST(0, graduates!E151, P_hat, FALSE())</f>
        <v>0.17837894775931737</v>
      </c>
    </row>
    <row r="205" spans="2:2" x14ac:dyDescent="0.3">
      <c r="B205" s="15">
        <f>_xlfn.BINOM.DIST(0, graduates!E152, P_hat, FALSE())</f>
        <v>0.7083839611178615</v>
      </c>
    </row>
    <row r="206" spans="2:2" x14ac:dyDescent="0.3">
      <c r="B206" s="15">
        <f>_xlfn.BINOM.DIST(0, graduates!E153, P_hat, FALSE())</f>
        <v>0.12636078559378131</v>
      </c>
    </row>
    <row r="207" spans="2:2" x14ac:dyDescent="0.3">
      <c r="B207" s="15">
        <f>_xlfn.BINOM.DIST(0, graduates!E154, P_hat, FALSE())</f>
        <v>8.951195382888763E-2</v>
      </c>
    </row>
    <row r="208" spans="2:2" x14ac:dyDescent="0.3">
      <c r="B208" s="15">
        <f>_xlfn.BINOM.DIST(0, graduates!E155, P_hat, FALSE())</f>
        <v>8.951195382888763E-2</v>
      </c>
    </row>
    <row r="209" spans="2:2" x14ac:dyDescent="0.3">
      <c r="B209" s="15">
        <f>_xlfn.BINOM.DIST(0, graduates!E156, P_hat, FALSE())</f>
        <v>4.4917799880038765E-2</v>
      </c>
    </row>
    <row r="210" spans="2:2" x14ac:dyDescent="0.3">
      <c r="B210" s="15">
        <f>_xlfn.BINOM.DIST(0, graduates!E157, P_hat, FALSE())</f>
        <v>0.35547262284707848</v>
      </c>
    </row>
    <row r="211" spans="2:2" x14ac:dyDescent="0.3">
      <c r="B211" s="15">
        <f>_xlfn.BINOM.DIST(0, graduates!E158, P_hat, FALSE())</f>
        <v>0.12636078559378131</v>
      </c>
    </row>
    <row r="212" spans="2:2" x14ac:dyDescent="0.3">
      <c r="B212" s="15">
        <f>_xlfn.BINOM.DIST(0, graduates!E159, P_hat, FALSE())</f>
        <v>0.25181110464136908</v>
      </c>
    </row>
    <row r="213" spans="2:2" x14ac:dyDescent="0.3">
      <c r="B213" s="15">
        <f>_xlfn.BINOM.DIST(0, graduates!E160, P_hat, FALSE())</f>
        <v>0.12636078559378131</v>
      </c>
    </row>
    <row r="214" spans="2:2" x14ac:dyDescent="0.3">
      <c r="B214" s="15">
        <f>_xlfn.BINOM.DIST(0, graduates!E161, P_hat, FALSE())</f>
        <v>0.12636078559378131</v>
      </c>
    </row>
    <row r="215" spans="2:2" x14ac:dyDescent="0.3">
      <c r="B215" s="15">
        <f>_xlfn.BINOM.DIST(0, graduates!E162, P_hat, FALSE())</f>
        <v>0.50180783636903192</v>
      </c>
    </row>
    <row r="216" spans="2:2" x14ac:dyDescent="0.3">
      <c r="B216" s="15">
        <f>_xlfn.BINOM.DIST(0, graduates!E163, P_hat, FALSE())</f>
        <v>8.951195382888763E-2</v>
      </c>
    </row>
    <row r="217" spans="2:2" x14ac:dyDescent="0.3">
      <c r="B217" s="15">
        <f>_xlfn.BINOM.DIST(0, graduates!E164, P_hat, FALSE())</f>
        <v>8.951195382888763E-2</v>
      </c>
    </row>
    <row r="218" spans="2:2" x14ac:dyDescent="0.3">
      <c r="B218" s="15">
        <f>_xlfn.BINOM.DIST(0, graduates!E165, P_hat, FALSE())</f>
        <v>0.35547262284707848</v>
      </c>
    </row>
    <row r="219" spans="2:2" x14ac:dyDescent="0.3">
      <c r="B219" s="15">
        <f>_xlfn.BINOM.DIST(0, graduates!E166, P_hat, FALSE())</f>
        <v>0.12636078559378131</v>
      </c>
    </row>
    <row r="220" spans="2:2" x14ac:dyDescent="0.3">
      <c r="B220" s="15">
        <f>_xlfn.BINOM.DIST(0, graduates!E167, P_hat, FALSE())</f>
        <v>0.12636078559378131</v>
      </c>
    </row>
    <row r="221" spans="2:2" x14ac:dyDescent="0.3">
      <c r="B221" s="15">
        <f>_xlfn.BINOM.DIST(0, graduates!E168, P_hat, FALSE())</f>
        <v>8.951195382888763E-2</v>
      </c>
    </row>
    <row r="222" spans="2:2" x14ac:dyDescent="0.3">
      <c r="B222" s="15">
        <f>_xlfn.BINOM.DIST(0, graduates!E169, P_hat, FALSE())</f>
        <v>0.35547262284707848</v>
      </c>
    </row>
    <row r="223" spans="2:2" x14ac:dyDescent="0.3">
      <c r="B223" s="15">
        <f>_xlfn.BINOM.DIST(0, graduates!E170, P_hat, FALSE())</f>
        <v>4.4917799880038765E-2</v>
      </c>
    </row>
    <row r="224" spans="2:2" x14ac:dyDescent="0.3">
      <c r="B224" s="15">
        <f>_xlfn.BINOM.DIST(0, graduates!E171, P_hat, FALSE())</f>
        <v>0.35547262284707848</v>
      </c>
    </row>
    <row r="225" spans="2:2" x14ac:dyDescent="0.3">
      <c r="B225" s="15">
        <f>_xlfn.BINOM.DIST(0, graduates!E172, P_hat, FALSE())</f>
        <v>8.951195382888763E-2</v>
      </c>
    </row>
    <row r="226" spans="2:2" x14ac:dyDescent="0.3">
      <c r="B226" s="15">
        <f>_xlfn.BINOM.DIST(0, graduates!E173, P_hat, FALSE())</f>
        <v>0.17837894775931737</v>
      </c>
    </row>
    <row r="227" spans="2:2" x14ac:dyDescent="0.3">
      <c r="B227" s="15">
        <f>_xlfn.BINOM.DIST(0, graduates!E174, P_hat, FALSE())</f>
        <v>0.12636078559378131</v>
      </c>
    </row>
    <row r="228" spans="2:2" x14ac:dyDescent="0.3">
      <c r="B228" s="15">
        <f>_xlfn.BINOM.DIST(0, graduates!E175, P_hat, FALSE())</f>
        <v>0.17837894775931737</v>
      </c>
    </row>
    <row r="229" spans="2:2" x14ac:dyDescent="0.3">
      <c r="B229" s="15">
        <f>_xlfn.BINOM.DIST(0, graduates!E176, P_hat, FALSE())</f>
        <v>0.25181110464136908</v>
      </c>
    </row>
    <row r="230" spans="2:2" x14ac:dyDescent="0.3">
      <c r="B230" s="15">
        <f>_xlfn.BINOM.DIST(0, graduates!E177, P_hat, FALSE())</f>
        <v>0.17837894775931737</v>
      </c>
    </row>
    <row r="231" spans="2:2" x14ac:dyDescent="0.3">
      <c r="B231" s="15">
        <f>_xlfn.BINOM.DIST(0, graduates!E178, P_hat, FALSE())</f>
        <v>8.951195382888763E-2</v>
      </c>
    </row>
    <row r="232" spans="2:2" x14ac:dyDescent="0.3">
      <c r="B232" s="15">
        <f>_xlfn.BINOM.DIST(0, graduates!E179, P_hat, FALSE())</f>
        <v>0.12636078559378131</v>
      </c>
    </row>
    <row r="233" spans="2:2" x14ac:dyDescent="0.3">
      <c r="B233" s="15">
        <f>_xlfn.BINOM.DIST(0, graduates!E180, P_hat, FALSE())</f>
        <v>0.12636078559378131</v>
      </c>
    </row>
    <row r="234" spans="2:2" x14ac:dyDescent="0.3">
      <c r="B234" s="15">
        <f>_xlfn.BINOM.DIST(0, graduates!E181, P_hat, FALSE())</f>
        <v>0.50180783636903192</v>
      </c>
    </row>
    <row r="235" spans="2:2" x14ac:dyDescent="0.3">
      <c r="B235" s="15">
        <f>_xlfn.BINOM.DIST(0, graduates!E182, P_hat, FALSE())</f>
        <v>6.3408832420706537E-2</v>
      </c>
    </row>
    <row r="236" spans="2:2" x14ac:dyDescent="0.3">
      <c r="B236" s="15">
        <f>_xlfn.BINOM.DIST(0, graduates!E183, P_hat, FALSE())</f>
        <v>0.25181110464136908</v>
      </c>
    </row>
    <row r="237" spans="2:2" x14ac:dyDescent="0.3">
      <c r="B237" s="15">
        <f>_xlfn.BINOM.DIST(0, graduates!E184, P_hat, FALSE())</f>
        <v>0.17837894775931737</v>
      </c>
    </row>
    <row r="238" spans="2:2" x14ac:dyDescent="0.3">
      <c r="B238" s="15">
        <f>_xlfn.BINOM.DIST(0, graduates!E185, P_hat, FALSE())</f>
        <v>0.12636078559378131</v>
      </c>
    </row>
    <row r="239" spans="2:2" x14ac:dyDescent="0.3">
      <c r="B239" s="15">
        <f>_xlfn.BINOM.DIST(0, graduates!E186, P_hat, FALSE())</f>
        <v>0.12636078559378131</v>
      </c>
    </row>
    <row r="240" spans="2:2" x14ac:dyDescent="0.3">
      <c r="B240" s="15">
        <f>_xlfn.BINOM.DIST(0, graduates!E187, P_hat, FALSE())</f>
        <v>0.35547262284707848</v>
      </c>
    </row>
    <row r="241" spans="2:2" x14ac:dyDescent="0.3">
      <c r="B241" s="15">
        <f>_xlfn.BINOM.DIST(0, graduates!E188, P_hat, FALSE())</f>
        <v>0.17837894775931737</v>
      </c>
    </row>
    <row r="242" spans="2:2" x14ac:dyDescent="0.3">
      <c r="B242" s="15">
        <f>_xlfn.BINOM.DIST(0, graduates!E189, P_hat, FALSE())</f>
        <v>8.951195382888763E-2</v>
      </c>
    </row>
    <row r="243" spans="2:2" x14ac:dyDescent="0.3">
      <c r="B243" s="15">
        <f>_xlfn.BINOM.DIST(0, graduates!E190, P_hat, FALSE())</f>
        <v>0.17837894775931737</v>
      </c>
    </row>
    <row r="244" spans="2:2" x14ac:dyDescent="0.3">
      <c r="B244" s="15">
        <f>_xlfn.BINOM.DIST(0, graduates!E191, P_hat, FALSE())</f>
        <v>0.50180783636903192</v>
      </c>
    </row>
    <row r="245" spans="2:2" x14ac:dyDescent="0.3">
      <c r="B245" s="15">
        <f>_xlfn.BINOM.DIST(0, graduates!E192, P_hat, FALSE())</f>
        <v>0.35547262284707848</v>
      </c>
    </row>
    <row r="246" spans="2:2" x14ac:dyDescent="0.3">
      <c r="B246" s="15">
        <f>_xlfn.BINOM.DIST(0, graduates!E193, P_hat, FALSE())</f>
        <v>0.25181110464136908</v>
      </c>
    </row>
    <row r="247" spans="2:2" x14ac:dyDescent="0.3">
      <c r="B247" s="15">
        <f>_xlfn.BINOM.DIST(0, graduates!E194, P_hat, FALSE())</f>
        <v>3.1819049003721275E-2</v>
      </c>
    </row>
    <row r="248" spans="2:2" x14ac:dyDescent="0.3">
      <c r="B248" s="15">
        <f>_xlfn.BINOM.DIST(0, graduates!E195, P_hat, FALSE())</f>
        <v>0.35547262284707848</v>
      </c>
    </row>
    <row r="249" spans="2:2" x14ac:dyDescent="0.3">
      <c r="B249" s="15">
        <f>_xlfn.BINOM.DIST(0, graduates!E196, P_hat, FALSE())</f>
        <v>8.951195382888763E-2</v>
      </c>
    </row>
    <row r="250" spans="2:2" x14ac:dyDescent="0.3">
      <c r="B250" s="15">
        <f>_xlfn.BINOM.DIST(0, graduates!E197, P_hat, FALSE())</f>
        <v>0.17837894775931737</v>
      </c>
    </row>
    <row r="251" spans="2:2" x14ac:dyDescent="0.3">
      <c r="B251" s="15">
        <f>_xlfn.BINOM.DIST(0, graduates!E198, P_hat, FALSE())</f>
        <v>0.12636078559378131</v>
      </c>
    </row>
    <row r="252" spans="2:2" x14ac:dyDescent="0.3">
      <c r="B252" s="15">
        <f>_xlfn.BINOM.DIST(0, graduates!E199, P_hat, FALSE())</f>
        <v>0.17837894775931737</v>
      </c>
    </row>
    <row r="253" spans="2:2" x14ac:dyDescent="0.3">
      <c r="B253" s="15">
        <f>_xlfn.BINOM.DIST(0, graduates!E200, P_hat, FALSE())</f>
        <v>0.25181110464136908</v>
      </c>
    </row>
    <row r="254" spans="2:2" x14ac:dyDescent="0.3">
      <c r="B254" s="15">
        <f>_xlfn.BINOM.DIST(0, graduates!E201, P_hat, FALSE())</f>
        <v>0.25181110464136908</v>
      </c>
    </row>
    <row r="255" spans="2:2" x14ac:dyDescent="0.3">
      <c r="B255" s="15">
        <f>_xlfn.BINOM.DIST(0, graduates!E202, P_hat, FALSE())</f>
        <v>0.25181110464136908</v>
      </c>
    </row>
    <row r="256" spans="2:2" x14ac:dyDescent="0.3">
      <c r="B256" s="15">
        <f>_xlfn.BINOM.DIST(0, graduates!E203, P_hat, FALSE())</f>
        <v>0.35547262284707848</v>
      </c>
    </row>
    <row r="257" spans="2:2" x14ac:dyDescent="0.3">
      <c r="B257" s="15">
        <f>_xlfn.BINOM.DIST(0, graduates!E204, P_hat, FALSE())</f>
        <v>8.951195382888763E-2</v>
      </c>
    </row>
    <row r="258" spans="2:2" x14ac:dyDescent="0.3">
      <c r="B258" s="15">
        <f>_xlfn.BINOM.DIST(0, graduates!E205, P_hat, FALSE())</f>
        <v>0.35547262284707848</v>
      </c>
    </row>
    <row r="259" spans="2:2" x14ac:dyDescent="0.3">
      <c r="B259" s="15">
        <f>_xlfn.BINOM.DIST(0, graduates!E206, P_hat, FALSE())</f>
        <v>4.4917799880038765E-2</v>
      </c>
    </row>
    <row r="260" spans="2:2" x14ac:dyDescent="0.3">
      <c r="B260" s="15">
        <f>_xlfn.BINOM.DIST(0, graduates!E207, P_hat, FALSE())</f>
        <v>0.12636078559378131</v>
      </c>
    </row>
    <row r="261" spans="2:2" x14ac:dyDescent="0.3">
      <c r="B261" s="15">
        <f>_xlfn.BINOM.DIST(0, graduates!E208, P_hat, FALSE())</f>
        <v>4.4917799880038765E-2</v>
      </c>
    </row>
    <row r="262" spans="2:2" x14ac:dyDescent="0.3">
      <c r="B262" s="15">
        <f>_xlfn.BINOM.DIST(0, graduates!E209, P_hat, FALSE())</f>
        <v>0.17837894775931737</v>
      </c>
    </row>
    <row r="263" spans="2:2" x14ac:dyDescent="0.3">
      <c r="B263" s="15">
        <f>_xlfn.BINOM.DIST(0, graduates!E210, P_hat, FALSE())</f>
        <v>0.35547262284707848</v>
      </c>
    </row>
    <row r="264" spans="2:2" x14ac:dyDescent="0.3">
      <c r="B264" s="15">
        <f>_xlfn.BINOM.DIST(0, graduates!E211, P_hat, FALSE())</f>
        <v>0.35547262284707848</v>
      </c>
    </row>
    <row r="265" spans="2:2" x14ac:dyDescent="0.3">
      <c r="B265" s="15">
        <f>_xlfn.BINOM.DIST(0, graduates!E212, P_hat, FALSE())</f>
        <v>0.12636078559378131</v>
      </c>
    </row>
    <row r="266" spans="2:2" x14ac:dyDescent="0.3">
      <c r="B266" s="15">
        <f>_xlfn.BINOM.DIST(0, graduates!E213, P_hat, FALSE())</f>
        <v>0.35547262284707848</v>
      </c>
    </row>
    <row r="267" spans="2:2" x14ac:dyDescent="0.3">
      <c r="B267" s="15">
        <f>_xlfn.BINOM.DIST(0, graduates!E214, P_hat, FALSE())</f>
        <v>0.12636078559378131</v>
      </c>
    </row>
    <row r="268" spans="2:2" x14ac:dyDescent="0.3">
      <c r="B268" s="15">
        <f>_xlfn.BINOM.DIST(0, graduates!E215, P_hat, FALSE())</f>
        <v>0.17837894775931737</v>
      </c>
    </row>
    <row r="269" spans="2:2" x14ac:dyDescent="0.3">
      <c r="B269" s="15">
        <f>_xlfn.BINOM.DIST(0, graduates!E216, P_hat, FALSE())</f>
        <v>6.3408832420706537E-2</v>
      </c>
    </row>
    <row r="270" spans="2:2" x14ac:dyDescent="0.3">
      <c r="B270" s="15">
        <f>_xlfn.BINOM.DIST(0, graduates!E217, P_hat, FALSE())</f>
        <v>0.12636078559378131</v>
      </c>
    </row>
    <row r="271" spans="2:2" x14ac:dyDescent="0.3">
      <c r="B271" s="15">
        <f>_xlfn.BINOM.DIST(0, graduates!E218, P_hat, FALSE())</f>
        <v>0.17837894775931737</v>
      </c>
    </row>
    <row r="272" spans="2:2" x14ac:dyDescent="0.3">
      <c r="B272" s="15">
        <f>_xlfn.BINOM.DIST(0, graduates!E219, P_hat, FALSE())</f>
        <v>0.50180783636903192</v>
      </c>
    </row>
    <row r="273" spans="2:2" x14ac:dyDescent="0.3">
      <c r="B273" s="15">
        <f>_xlfn.BINOM.DIST(0, graduates!E220, P_hat, FALSE())</f>
        <v>2.2540103972259418E-2</v>
      </c>
    </row>
    <row r="274" spans="2:2" x14ac:dyDescent="0.3">
      <c r="B274" s="15">
        <f>_xlfn.BINOM.DIST(0, graduates!E221, P_hat, FALSE())</f>
        <v>0.25181110464136908</v>
      </c>
    </row>
    <row r="275" spans="2:2" x14ac:dyDescent="0.3">
      <c r="B275" s="15">
        <f>_xlfn.BINOM.DIST(0, graduates!E222, P_hat, FALSE())</f>
        <v>0.25181110464136908</v>
      </c>
    </row>
    <row r="276" spans="2:2" x14ac:dyDescent="0.3">
      <c r="B276" s="15">
        <f>_xlfn.BINOM.DIST(0, graduates!E223, P_hat, FALSE())</f>
        <v>0.50180783636903192</v>
      </c>
    </row>
    <row r="277" spans="2:2" x14ac:dyDescent="0.3">
      <c r="B277" s="15">
        <f>_xlfn.BINOM.DIST(0, graduates!E224, P_hat, FALSE())</f>
        <v>0.25181110464136908</v>
      </c>
    </row>
    <row r="278" spans="2:2" x14ac:dyDescent="0.3">
      <c r="B278" s="15">
        <f>_xlfn.BINOM.DIST(0, graduates!E225, P_hat, FALSE())</f>
        <v>8.951195382888763E-2</v>
      </c>
    </row>
    <row r="279" spans="2:2" x14ac:dyDescent="0.3">
      <c r="B279" s="15">
        <f>_xlfn.BINOM.DIST(0, graduates!E226, P_hat, FALSE())</f>
        <v>8.951195382888763E-2</v>
      </c>
    </row>
    <row r="280" spans="2:2" x14ac:dyDescent="0.3">
      <c r="B280" s="15">
        <f>_xlfn.BINOM.DIST(0, graduates!E227, P_hat, FALSE())</f>
        <v>0.17837894775931737</v>
      </c>
    </row>
    <row r="281" spans="2:2" x14ac:dyDescent="0.3">
      <c r="B281" s="15">
        <f>_xlfn.BINOM.DIST(0, graduates!E228, P_hat, FALSE())</f>
        <v>0.12636078559378131</v>
      </c>
    </row>
    <row r="282" spans="2:2" x14ac:dyDescent="0.3">
      <c r="B282" s="15">
        <f>_xlfn.BINOM.DIST(0, graduates!E229, P_hat, FALSE())</f>
        <v>0.35547262284707848</v>
      </c>
    </row>
    <row r="283" spans="2:2" x14ac:dyDescent="0.3">
      <c r="B283" s="15">
        <f>_xlfn.BINOM.DIST(0, graduates!E230, P_hat, FALSE())</f>
        <v>8.951195382888763E-2</v>
      </c>
    </row>
    <row r="284" spans="2:2" x14ac:dyDescent="0.3">
      <c r="B284" s="15">
        <f>_xlfn.BINOM.DIST(0, graduates!E231, P_hat, FALSE())</f>
        <v>0.25181110464136908</v>
      </c>
    </row>
    <row r="285" spans="2:2" x14ac:dyDescent="0.3">
      <c r="B285" s="15">
        <f>_xlfn.BINOM.DIST(0, graduates!E232, P_hat, FALSE())</f>
        <v>0.17837894775931737</v>
      </c>
    </row>
    <row r="286" spans="2:2" x14ac:dyDescent="0.3">
      <c r="B286" s="15">
        <f>_xlfn.BINOM.DIST(0, graduates!E233, P_hat, FALSE())</f>
        <v>6.3408832420706537E-2</v>
      </c>
    </row>
    <row r="287" spans="2:2" x14ac:dyDescent="0.3">
      <c r="B287" s="15">
        <f>_xlfn.BINOM.DIST(0, graduates!E234, P_hat, FALSE())</f>
        <v>0.25181110464136908</v>
      </c>
    </row>
    <row r="288" spans="2:2" x14ac:dyDescent="0.3">
      <c r="B288" s="15">
        <f>_xlfn.BINOM.DIST(0, graduates!E235, P_hat, FALSE())</f>
        <v>0.25181110464136908</v>
      </c>
    </row>
    <row r="289" spans="2:2" x14ac:dyDescent="0.3">
      <c r="B289" s="15">
        <f>_xlfn.BINOM.DIST(0, graduates!E236, P_hat, FALSE())</f>
        <v>0.7083839611178615</v>
      </c>
    </row>
    <row r="290" spans="2:2" x14ac:dyDescent="0.3">
      <c r="B290" s="15">
        <f>_xlfn.BINOM.DIST(0, graduates!E237, P_hat, FALSE())</f>
        <v>0.17837894775931737</v>
      </c>
    </row>
    <row r="291" spans="2:2" x14ac:dyDescent="0.3">
      <c r="B291" s="15">
        <f>_xlfn.BINOM.DIST(0, graduates!E238, P_hat, FALSE())</f>
        <v>0.35547262284707848</v>
      </c>
    </row>
    <row r="292" spans="2:2" x14ac:dyDescent="0.3">
      <c r="B292" s="15">
        <f>_xlfn.BINOM.DIST(0, graduates!E239, P_hat, FALSE())</f>
        <v>0.12636078559378131</v>
      </c>
    </row>
    <row r="293" spans="2:2" x14ac:dyDescent="0.3">
      <c r="B293" s="15">
        <f>_xlfn.BINOM.DIST(0, graduates!E240, P_hat, FALSE())</f>
        <v>0.35547262284707848</v>
      </c>
    </row>
    <row r="294" spans="2:2" x14ac:dyDescent="0.3">
      <c r="B294" s="15">
        <f>_xlfn.BINOM.DIST(0, graduates!E241, P_hat, FALSE())</f>
        <v>0.35547262284707848</v>
      </c>
    </row>
    <row r="295" spans="2:2" x14ac:dyDescent="0.3">
      <c r="B295" s="15">
        <f>_xlfn.BINOM.DIST(0, graduates!E242, P_hat, FALSE())</f>
        <v>0.12636078559378131</v>
      </c>
    </row>
    <row r="296" spans="2:2" x14ac:dyDescent="0.3">
      <c r="B296" s="15">
        <f>_xlfn.BINOM.DIST(0, graduates!E243, P_hat, FALSE())</f>
        <v>0.17837894775931737</v>
      </c>
    </row>
    <row r="297" spans="2:2" x14ac:dyDescent="0.3">
      <c r="B297" s="15">
        <f>_xlfn.BINOM.DIST(0, graduates!E244, P_hat, FALSE())</f>
        <v>8.951195382888763E-2</v>
      </c>
    </row>
    <row r="298" spans="2:2" x14ac:dyDescent="0.3">
      <c r="B298" s="15">
        <f>_xlfn.BINOM.DIST(0, graduates!E245, P_hat, FALSE())</f>
        <v>0.35547262284707848</v>
      </c>
    </row>
    <row r="299" spans="2:2" x14ac:dyDescent="0.3">
      <c r="B299" s="15">
        <f>_xlfn.BINOM.DIST(0, graduates!E246, P_hat, FALSE())</f>
        <v>4.4917799880038765E-2</v>
      </c>
    </row>
    <row r="300" spans="2:2" x14ac:dyDescent="0.3">
      <c r="B300" s="15">
        <f>_xlfn.BINOM.DIST(0, graduates!E247, P_hat, FALSE())</f>
        <v>6.3408832420706537E-2</v>
      </c>
    </row>
    <row r="301" spans="2:2" x14ac:dyDescent="0.3">
      <c r="B301" s="15">
        <f>_xlfn.BINOM.DIST(0, graduates!E248, P_hat, FALSE())</f>
        <v>0.12636078559378131</v>
      </c>
    </row>
    <row r="302" spans="2:2" x14ac:dyDescent="0.3">
      <c r="B302" s="15">
        <f>_xlfn.BINOM.DIST(0, graduates!E249, P_hat, FALSE())</f>
        <v>6.3408832420706537E-2</v>
      </c>
    </row>
    <row r="303" spans="2:2" x14ac:dyDescent="0.3">
      <c r="B303" s="15">
        <f>_xlfn.BINOM.DIST(0, graduates!E250, P_hat, FALSE())</f>
        <v>0.17837894775931737</v>
      </c>
    </row>
    <row r="304" spans="2:2" x14ac:dyDescent="0.3">
      <c r="B304" s="15">
        <f>_xlfn.BINOM.DIST(0, graduates!E251, P_hat, FALSE())</f>
        <v>8.951195382888763E-2</v>
      </c>
    </row>
    <row r="305" spans="2:2" x14ac:dyDescent="0.3">
      <c r="B305" s="15">
        <f>_xlfn.BINOM.DIST(0, graduates!E252, P_hat, FALSE())</f>
        <v>0.12636078559378131</v>
      </c>
    </row>
    <row r="306" spans="2:2" x14ac:dyDescent="0.3">
      <c r="B306" s="15">
        <f>_xlfn.BINOM.DIST(0, graduates!E253, P_hat, FALSE())</f>
        <v>0.25181110464136908</v>
      </c>
    </row>
    <row r="307" spans="2:2" x14ac:dyDescent="0.3">
      <c r="B307" s="15">
        <f>_xlfn.BINOM.DIST(0, graduates!E254, P_hat, FALSE())</f>
        <v>0.17837894775931737</v>
      </c>
    </row>
    <row r="308" spans="2:2" x14ac:dyDescent="0.3">
      <c r="B308" s="15">
        <f>_xlfn.BINOM.DIST(0, graduates!E255, P_hat, FALSE())</f>
        <v>8.951195382888763E-2</v>
      </c>
    </row>
    <row r="309" spans="2:2" x14ac:dyDescent="0.3">
      <c r="B309" s="15">
        <f>_xlfn.BINOM.DIST(0, graduates!E256, P_hat, FALSE())</f>
        <v>0.25181110464136908</v>
      </c>
    </row>
    <row r="310" spans="2:2" x14ac:dyDescent="0.3">
      <c r="B310" s="15">
        <f>_xlfn.BINOM.DIST(0, graduates!E257, P_hat, FALSE())</f>
        <v>0.12636078559378131</v>
      </c>
    </row>
    <row r="311" spans="2:2" x14ac:dyDescent="0.3">
      <c r="B311" s="15">
        <f>_xlfn.BINOM.DIST(0, graduates!E258, P_hat, FALSE())</f>
        <v>6.3408832420706537E-2</v>
      </c>
    </row>
    <row r="312" spans="2:2" x14ac:dyDescent="0.3">
      <c r="B312" s="15">
        <f>_xlfn.BINOM.DIST(0, graduates!E259, P_hat, FALSE())</f>
        <v>0.17837894775931737</v>
      </c>
    </row>
    <row r="313" spans="2:2" x14ac:dyDescent="0.3">
      <c r="B313" s="15">
        <f>_xlfn.BINOM.DIST(0, graduates!E260, P_hat, FALSE())</f>
        <v>6.3408832420706537E-2</v>
      </c>
    </row>
    <row r="314" spans="2:2" x14ac:dyDescent="0.3">
      <c r="B314" s="15">
        <f>_xlfn.BINOM.DIST(0, graduates!E261, P_hat, FALSE())</f>
        <v>0.35547262284707848</v>
      </c>
    </row>
    <row r="315" spans="2:2" x14ac:dyDescent="0.3">
      <c r="B315" s="15">
        <f>_xlfn.BINOM.DIST(0, graduates!E262, P_hat, FALSE())</f>
        <v>8.951195382888763E-2</v>
      </c>
    </row>
    <row r="316" spans="2:2" x14ac:dyDescent="0.3">
      <c r="B316" s="15">
        <f>_xlfn.BINOM.DIST(0, graduates!E263, P_hat, FALSE())</f>
        <v>8.951195382888763E-2</v>
      </c>
    </row>
    <row r="317" spans="2:2" x14ac:dyDescent="0.3">
      <c r="B317" s="15">
        <f>_xlfn.BINOM.DIST(0, graduates!E264, P_hat, FALSE())</f>
        <v>0.25181110464136908</v>
      </c>
    </row>
    <row r="318" spans="2:2" x14ac:dyDescent="0.3">
      <c r="B318" s="15">
        <f>_xlfn.BINOM.DIST(0, graduates!E265, P_hat, FALSE())</f>
        <v>6.3408832420706537E-2</v>
      </c>
    </row>
    <row r="319" spans="2:2" x14ac:dyDescent="0.3">
      <c r="B319" s="15">
        <f>_xlfn.BINOM.DIST(0, graduates!E266, P_hat, FALSE())</f>
        <v>0.17837894775931737</v>
      </c>
    </row>
    <row r="320" spans="2:2" x14ac:dyDescent="0.3">
      <c r="B320" s="15">
        <f>_xlfn.BINOM.DIST(0, graduates!E267, P_hat, FALSE())</f>
        <v>0.50180783636903192</v>
      </c>
    </row>
    <row r="321" spans="2:2" x14ac:dyDescent="0.3">
      <c r="B321" s="15">
        <f>_xlfn.BINOM.DIST(0, graduates!E268, P_hat, FALSE())</f>
        <v>0.17837894775931737</v>
      </c>
    </row>
    <row r="322" spans="2:2" x14ac:dyDescent="0.3">
      <c r="B322" s="15">
        <f>_xlfn.BINOM.DIST(0, graduates!E269, P_hat, FALSE())</f>
        <v>6.3408832420706537E-2</v>
      </c>
    </row>
    <row r="323" spans="2:2" x14ac:dyDescent="0.3">
      <c r="B323" s="15">
        <f>_xlfn.BINOM.DIST(0, graduates!E270, P_hat, FALSE())</f>
        <v>3.1819049003721275E-2</v>
      </c>
    </row>
    <row r="324" spans="2:2" x14ac:dyDescent="0.3">
      <c r="B324" s="15">
        <f>_xlfn.BINOM.DIST(0, graduates!E271, P_hat, FALSE())</f>
        <v>0.12636078559378131</v>
      </c>
    </row>
    <row r="325" spans="2:2" x14ac:dyDescent="0.3">
      <c r="B325" s="15">
        <f>_xlfn.BINOM.DIST(0, graduates!E272, P_hat, FALSE())</f>
        <v>6.3408832420706537E-2</v>
      </c>
    </row>
    <row r="326" spans="2:2" x14ac:dyDescent="0.3">
      <c r="B326" s="15">
        <f>_xlfn.BINOM.DIST(0, graduates!E273, P_hat, FALSE())</f>
        <v>4.4917799880038765E-2</v>
      </c>
    </row>
    <row r="327" spans="2:2" x14ac:dyDescent="0.3">
      <c r="B327" s="15">
        <f>_xlfn.BINOM.DIST(0, graduates!E274, P_hat, FALSE())</f>
        <v>0.12636078559378131</v>
      </c>
    </row>
    <row r="328" spans="2:2" x14ac:dyDescent="0.3">
      <c r="B328" s="15">
        <f>_xlfn.BINOM.DIST(0, graduates!E275, P_hat, FALSE())</f>
        <v>4.4917799880038765E-2</v>
      </c>
    </row>
    <row r="329" spans="2:2" x14ac:dyDescent="0.3">
      <c r="B329" s="15">
        <f>_xlfn.BINOM.DIST(0, graduates!E276, P_hat, FALSE())</f>
        <v>0.35547262284707848</v>
      </c>
    </row>
    <row r="330" spans="2:2" x14ac:dyDescent="0.3">
      <c r="B330" s="15">
        <f>_xlfn.BINOM.DIST(0, graduates!E277, P_hat, FALSE())</f>
        <v>0.35547262284707848</v>
      </c>
    </row>
    <row r="331" spans="2:2" x14ac:dyDescent="0.3">
      <c r="B331" s="15">
        <f>_xlfn.BINOM.DIST(0, graduates!E278, P_hat, FALSE())</f>
        <v>8.951195382888763E-2</v>
      </c>
    </row>
    <row r="332" spans="2:2" x14ac:dyDescent="0.3">
      <c r="B332" s="15">
        <f>_xlfn.BINOM.DIST(0, graduates!E279, P_hat, FALSE())</f>
        <v>6.3408832420706537E-2</v>
      </c>
    </row>
    <row r="333" spans="2:2" x14ac:dyDescent="0.3">
      <c r="B333" s="15">
        <f>_xlfn.BINOM.DIST(0, graduates!E280, P_hat, FALSE())</f>
        <v>0.35547262284707848</v>
      </c>
    </row>
    <row r="334" spans="2:2" x14ac:dyDescent="0.3">
      <c r="B334" s="15">
        <f>_xlfn.BINOM.DIST(0, graduates!E281, P_hat, FALSE())</f>
        <v>0.35547262284707848</v>
      </c>
    </row>
    <row r="335" spans="2:2" x14ac:dyDescent="0.3">
      <c r="B335" s="15">
        <f>_xlfn.BINOM.DIST(0, graduates!E282, P_hat, FALSE())</f>
        <v>0.50180783636903192</v>
      </c>
    </row>
    <row r="336" spans="2:2" x14ac:dyDescent="0.3">
      <c r="B336" s="15">
        <f>_xlfn.BINOM.DIST(0, graduates!E283, P_hat, FALSE())</f>
        <v>0.17837894775931737</v>
      </c>
    </row>
    <row r="337" spans="2:2" x14ac:dyDescent="0.3">
      <c r="B337" s="15">
        <f>_xlfn.BINOM.DIST(0, graduates!E284, P_hat, FALSE())</f>
        <v>4.4917799880038765E-2</v>
      </c>
    </row>
    <row r="338" spans="2:2" x14ac:dyDescent="0.3">
      <c r="B338" s="15">
        <f>_xlfn.BINOM.DIST(0, graduates!E285, P_hat, FALSE())</f>
        <v>8.951195382888763E-2</v>
      </c>
    </row>
    <row r="339" spans="2:2" x14ac:dyDescent="0.3">
      <c r="B339" s="15">
        <f>_xlfn.BINOM.DIST(0, graduates!E286, P_hat, FALSE())</f>
        <v>0.17837894775931737</v>
      </c>
    </row>
    <row r="340" spans="2:2" x14ac:dyDescent="0.3">
      <c r="B340" s="15">
        <f>_xlfn.BINOM.DIST(0, graduates!E287, P_hat, FALSE())</f>
        <v>6.3408832420706537E-2</v>
      </c>
    </row>
    <row r="341" spans="2:2" x14ac:dyDescent="0.3">
      <c r="B341" s="15">
        <f>_xlfn.BINOM.DIST(0, graduates!E288, P_hat, FALSE())</f>
        <v>0.25181110464136908</v>
      </c>
    </row>
    <row r="342" spans="2:2" x14ac:dyDescent="0.3">
      <c r="B342" s="15">
        <f>_xlfn.BINOM.DIST(0, graduates!E289, P_hat, FALSE())</f>
        <v>4.4917799880038765E-2</v>
      </c>
    </row>
    <row r="343" spans="2:2" x14ac:dyDescent="0.3">
      <c r="B343" s="15">
        <f>_xlfn.BINOM.DIST(0, graduates!E290, P_hat, FALSE())</f>
        <v>0.12636078559378131</v>
      </c>
    </row>
    <row r="344" spans="2:2" x14ac:dyDescent="0.3">
      <c r="B344" s="15">
        <f>_xlfn.BINOM.DIST(0, graduates!E291, P_hat, FALSE())</f>
        <v>0.25181110464136908</v>
      </c>
    </row>
    <row r="345" spans="2:2" x14ac:dyDescent="0.3">
      <c r="B345" s="15">
        <f>_xlfn.BINOM.DIST(0, graduates!E292, P_hat, FALSE())</f>
        <v>0.35547262284707848</v>
      </c>
    </row>
    <row r="346" spans="2:2" x14ac:dyDescent="0.3">
      <c r="B346" s="15">
        <f>_xlfn.BINOM.DIST(0, graduates!E293, P_hat, FALSE())</f>
        <v>0.50180783636903192</v>
      </c>
    </row>
    <row r="347" spans="2:2" x14ac:dyDescent="0.3">
      <c r="B347" s="15">
        <f>_xlfn.BINOM.DIST(0, graduates!E294, P_hat, FALSE())</f>
        <v>0.17837894775931737</v>
      </c>
    </row>
    <row r="348" spans="2:2" x14ac:dyDescent="0.3">
      <c r="B348" s="15">
        <f>_xlfn.BINOM.DIST(0, graduates!E295, P_hat, FALSE())</f>
        <v>0.12636078559378131</v>
      </c>
    </row>
    <row r="349" spans="2:2" x14ac:dyDescent="0.3">
      <c r="B349" s="15">
        <f>_xlfn.BINOM.DIST(0, graduates!E296, P_hat, FALSE())</f>
        <v>6.3408832420706537E-2</v>
      </c>
    </row>
    <row r="350" spans="2:2" x14ac:dyDescent="0.3">
      <c r="B350" s="15">
        <f>_xlfn.BINOM.DIST(0, graduates!E297, P_hat, FALSE())</f>
        <v>0.25181110464136908</v>
      </c>
    </row>
    <row r="351" spans="2:2" x14ac:dyDescent="0.3">
      <c r="B351" s="15">
        <f>_xlfn.BINOM.DIST(0, graduates!E298, P_hat, FALSE())</f>
        <v>0.50180783636903192</v>
      </c>
    </row>
    <row r="352" spans="2:2" x14ac:dyDescent="0.3">
      <c r="B352" s="15">
        <f>_xlfn.BINOM.DIST(0, graduates!E299, P_hat, FALSE())</f>
        <v>0.17837894775931737</v>
      </c>
    </row>
    <row r="353" spans="2:2" x14ac:dyDescent="0.3">
      <c r="B353" s="15">
        <f>_xlfn.BINOM.DIST(0, graduates!E300, P_hat, FALSE())</f>
        <v>0.25181110464136908</v>
      </c>
    </row>
    <row r="354" spans="2:2" x14ac:dyDescent="0.3">
      <c r="B354" s="15">
        <f>_xlfn.BINOM.DIST(0, graduates!E301, P_hat, FALSE())</f>
        <v>0.12636078559378131</v>
      </c>
    </row>
  </sheetData>
  <mergeCells count="4">
    <mergeCell ref="B10:C20"/>
    <mergeCell ref="L37:S49"/>
    <mergeCell ref="D55:N62"/>
    <mergeCell ref="D64:N81"/>
  </mergeCells>
  <pageMargins left="0.7" right="0.7" top="0.75" bottom="0.75" header="0.511811023622047" footer="0.511811023622047"/>
  <pageSetup paperSize="9" orientation="portrait" horizontalDpi="300" verticalDpi="300"/>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D57"/>
  <sheetViews>
    <sheetView tabSelected="1" topLeftCell="A17" zoomScale="48" zoomScaleNormal="48" workbookViewId="0">
      <selection activeCell="G28" sqref="G28"/>
    </sheetView>
  </sheetViews>
  <sheetFormatPr defaultColWidth="8.6640625" defaultRowHeight="14.4" x14ac:dyDescent="0.3"/>
  <cols>
    <col min="1" max="1" width="3" style="15" customWidth="1"/>
    <col min="2" max="2" width="58.6640625" style="15" customWidth="1"/>
    <col min="3" max="3" width="30" style="15" customWidth="1"/>
    <col min="4" max="4" width="46" style="15" customWidth="1"/>
  </cols>
  <sheetData>
    <row r="2" spans="2:4" ht="30.75" customHeight="1" x14ac:dyDescent="0.6">
      <c r="B2" s="93" t="s">
        <v>937</v>
      </c>
      <c r="C2" s="93"/>
      <c r="D2" s="93"/>
    </row>
    <row r="4" spans="2:4" x14ac:dyDescent="0.3">
      <c r="B4" s="70" t="s">
        <v>707</v>
      </c>
      <c r="C4" s="70" t="s">
        <v>938</v>
      </c>
    </row>
    <row r="5" spans="2:4" x14ac:dyDescent="0.3">
      <c r="B5" s="71" t="s">
        <v>939</v>
      </c>
      <c r="C5" s="72">
        <f>AVERAGE(helpdesk!C2:C181)</f>
        <v>3.7055555555555557</v>
      </c>
    </row>
    <row r="6" spans="2:4" x14ac:dyDescent="0.3">
      <c r="B6" s="71" t="s">
        <v>940</v>
      </c>
      <c r="C6" s="72">
        <f>VAR(helpdesk!C2:C181)</f>
        <v>3.6055555555555565</v>
      </c>
    </row>
    <row r="7" spans="2:4" x14ac:dyDescent="0.3">
      <c r="B7" s="71" t="s">
        <v>941</v>
      </c>
      <c r="C7" s="72">
        <f>C6-C5</f>
        <v>-9.9999999999999201E-2</v>
      </c>
    </row>
    <row r="8" spans="2:4" x14ac:dyDescent="0.3">
      <c r="B8" s="71" t="s">
        <v>942</v>
      </c>
      <c r="C8" s="72">
        <f>C6/C5</f>
        <v>0.9730134932533735</v>
      </c>
    </row>
    <row r="10" spans="2:4" x14ac:dyDescent="0.3">
      <c r="B10" s="94" t="str">
        <f>"Mean = "&amp;TEXT(C5,"0.0000")&amp;", variance = "&amp;TEXT(C6,"0.0000")&amp;". They are close (ratio = "&amp;TEXT(C8,"0.00")&amp;"), which is the Poisson signature (mean = variance). This dataset looks consistent with a Poisson process — there is no sign of the extra spread (over-dispersion) or the extra tightness (under-dispersion) that would make you doubt the model."</f>
        <v>Mean = 3.7056, variance = 3.6056. They are close (ratio = 0.97), which is the Poisson signature (mean = variance). This dataset looks consistent with a Poisson process — there is no sign of the extra spread (over-dispersion) or the extra tightness (under-dispersion) that would make you doubt the model.</v>
      </c>
      <c r="C10" s="94"/>
      <c r="D10" s="94"/>
    </row>
    <row r="11" spans="2:4" x14ac:dyDescent="0.3">
      <c r="B11" s="94"/>
      <c r="C11" s="94"/>
      <c r="D11" s="94"/>
    </row>
    <row r="12" spans="2:4" x14ac:dyDescent="0.3">
      <c r="B12" s="94"/>
      <c r="C12" s="94"/>
      <c r="D12" s="94"/>
    </row>
    <row r="14" spans="2:4" x14ac:dyDescent="0.3">
      <c r="B14" s="70" t="s">
        <v>911</v>
      </c>
      <c r="C14" s="70" t="s">
        <v>912</v>
      </c>
    </row>
    <row r="15" spans="2:4" ht="57.6" x14ac:dyDescent="0.3">
      <c r="B15" s="71" t="s">
        <v>943</v>
      </c>
      <c r="C15" s="71" t="s">
        <v>944</v>
      </c>
    </row>
    <row r="16" spans="2:4" ht="115.2" x14ac:dyDescent="0.3">
      <c r="B16" s="71" t="s">
        <v>945</v>
      </c>
      <c r="C16" s="71" t="s">
        <v>946</v>
      </c>
    </row>
    <row r="17" spans="2:4" ht="100.8" x14ac:dyDescent="0.3">
      <c r="B17" s="71" t="s">
        <v>947</v>
      </c>
      <c r="C17" s="71" t="s">
        <v>948</v>
      </c>
    </row>
    <row r="19" spans="2:4" ht="15" customHeight="1" x14ac:dyDescent="0.3">
      <c r="B19" s="94" t="s">
        <v>949</v>
      </c>
      <c r="C19" s="94"/>
      <c r="D19" s="94"/>
    </row>
    <row r="20" spans="2:4" x14ac:dyDescent="0.3">
      <c r="B20" s="94"/>
      <c r="C20" s="94"/>
      <c r="D20" s="94"/>
    </row>
    <row r="21" spans="2:4" x14ac:dyDescent="0.3">
      <c r="B21" s="94"/>
      <c r="C21" s="94"/>
      <c r="D21" s="94"/>
    </row>
    <row r="23" spans="2:4" ht="30.75" customHeight="1" x14ac:dyDescent="0.6">
      <c r="B23" s="93" t="s">
        <v>950</v>
      </c>
      <c r="C23" s="93"/>
      <c r="D23" s="93"/>
    </row>
    <row r="25" spans="2:4" x14ac:dyDescent="0.3">
      <c r="B25" s="70" t="s">
        <v>951</v>
      </c>
      <c r="C25" s="70" t="s">
        <v>938</v>
      </c>
    </row>
    <row r="26" spans="2:4" ht="18" x14ac:dyDescent="0.3">
      <c r="B26" s="71" t="s">
        <v>952</v>
      </c>
      <c r="C26" s="73">
        <f>ROUND(C5,1)</f>
        <v>3.7</v>
      </c>
    </row>
    <row r="27" spans="2:4" x14ac:dyDescent="0.3">
      <c r="B27" s="71" t="s">
        <v>953</v>
      </c>
      <c r="C27" s="72">
        <f>_xlfn.POISSON.DIST(2,$C$26,FALSE())</f>
        <v>0.16923253868947319</v>
      </c>
    </row>
    <row r="28" spans="2:4" x14ac:dyDescent="0.3">
      <c r="B28" s="71" t="s">
        <v>954</v>
      </c>
      <c r="C28" s="72">
        <f>_xlfn.POISSON.DIST(0,$C$26,FALSE())</f>
        <v>2.4723526470339388E-2</v>
      </c>
    </row>
    <row r="29" spans="2:4" x14ac:dyDescent="0.3">
      <c r="B29" s="71" t="s">
        <v>955</v>
      </c>
      <c r="C29" s="72">
        <f>1-_xlfn.POISSON.DIST(1,$C$26,TRUE())</f>
        <v>0.88379942558940483</v>
      </c>
    </row>
    <row r="30" spans="2:4" x14ac:dyDescent="0.3">
      <c r="B30" s="71" t="s">
        <v>956</v>
      </c>
      <c r="C30" s="72">
        <f>1-_xlfn.POISSON.DIST(6,$C$26,TRUE())</f>
        <v>8.1809198273264605E-2</v>
      </c>
    </row>
    <row r="31" spans="2:4" ht="18" x14ac:dyDescent="0.3">
      <c r="B31" s="71" t="s">
        <v>957</v>
      </c>
      <c r="C31" s="73">
        <f>180*C30</f>
        <v>14.725655689187629</v>
      </c>
    </row>
    <row r="33" spans="2:4" x14ac:dyDescent="0.3">
      <c r="B33" s="94" t="str">
        <f>"With λ = "&amp;TEXT(C26,"0.0")&amp;", a day has only a "&amp;TEXT(C30,"0.0%")&amp;" chance of seeing more than 6 tickets, but over a 180-day term that still adds up to roughly "&amp;TEXT(C31,"0.0")&amp;" days where the lab is over capacity — not a one-off, but not a constant problem either."</f>
        <v>With λ = 3.7, a day has only a 8.2% chance of seeing more than 6 tickets, but over a 180-day term that still adds up to roughly 14.7 days where the lab is over capacity — not a one-off, but not a constant problem either.</v>
      </c>
      <c r="C33" s="94"/>
      <c r="D33" s="94"/>
    </row>
    <row r="34" spans="2:4" x14ac:dyDescent="0.3">
      <c r="B34" s="94"/>
      <c r="C34" s="94"/>
      <c r="D34" s="94"/>
    </row>
    <row r="35" spans="2:4" x14ac:dyDescent="0.3">
      <c r="B35" s="94"/>
      <c r="C35" s="94"/>
      <c r="D35" s="94"/>
    </row>
    <row r="37" spans="2:4" ht="30.75" customHeight="1" x14ac:dyDescent="0.6">
      <c r="B37" s="93" t="s">
        <v>958</v>
      </c>
      <c r="C37" s="93"/>
      <c r="D37" s="93"/>
    </row>
    <row r="39" spans="2:4" x14ac:dyDescent="0.3">
      <c r="B39" s="70" t="s">
        <v>959</v>
      </c>
      <c r="C39" s="70" t="s">
        <v>960</v>
      </c>
      <c r="D39" s="70" t="s">
        <v>961</v>
      </c>
    </row>
    <row r="40" spans="2:4" x14ac:dyDescent="0.3">
      <c r="B40" s="71">
        <v>0</v>
      </c>
      <c r="C40" s="71">
        <f>COUNTIF(helpdesk!$C$2:$C$181,B40)</f>
        <v>5</v>
      </c>
      <c r="D40" s="74">
        <f t="shared" ref="D40:D49" si="0">180*_xlfn.POISSON.DIST(B40,$C$26,FALSE())</f>
        <v>4.45023476466109</v>
      </c>
    </row>
    <row r="41" spans="2:4" x14ac:dyDescent="0.3">
      <c r="B41" s="71">
        <v>1</v>
      </c>
      <c r="C41" s="71">
        <f>COUNTIF(helpdesk!$C$2:$C$181,B41)</f>
        <v>12</v>
      </c>
      <c r="D41" s="74">
        <f t="shared" si="0"/>
        <v>16.465868629246032</v>
      </c>
    </row>
    <row r="42" spans="2:4" x14ac:dyDescent="0.3">
      <c r="B42" s="71">
        <v>2</v>
      </c>
      <c r="C42" s="71">
        <f>COUNTIF(helpdesk!$C$2:$C$181,B42)</f>
        <v>40</v>
      </c>
      <c r="D42" s="74">
        <f t="shared" si="0"/>
        <v>30.461856964105174</v>
      </c>
    </row>
    <row r="43" spans="2:4" x14ac:dyDescent="0.3">
      <c r="B43" s="71">
        <v>3</v>
      </c>
      <c r="C43" s="71">
        <f>COUNTIF(helpdesk!$C$2:$C$181,B43)</f>
        <v>24</v>
      </c>
      <c r="D43" s="74">
        <f t="shared" si="0"/>
        <v>37.569623589063042</v>
      </c>
    </row>
    <row r="44" spans="2:4" x14ac:dyDescent="0.3">
      <c r="B44" s="71">
        <v>4</v>
      </c>
      <c r="C44" s="71">
        <f>COUNTIF(helpdesk!$C$2:$C$181,B44)</f>
        <v>46</v>
      </c>
      <c r="D44" s="74">
        <f t="shared" si="0"/>
        <v>34.751901819883315</v>
      </c>
    </row>
    <row r="45" spans="2:4" x14ac:dyDescent="0.3">
      <c r="B45" s="71">
        <v>5</v>
      </c>
      <c r="C45" s="71">
        <f>COUNTIF(helpdesk!$C$2:$C$181,B45)</f>
        <v>24</v>
      </c>
      <c r="D45" s="74">
        <f t="shared" si="0"/>
        <v>25.716407346713645</v>
      </c>
    </row>
    <row r="46" spans="2:4" x14ac:dyDescent="0.3">
      <c r="B46" s="71">
        <v>6</v>
      </c>
      <c r="C46" s="71">
        <f>COUNTIF(helpdesk!$C$2:$C$181,B46)</f>
        <v>13</v>
      </c>
      <c r="D46" s="74">
        <f t="shared" si="0"/>
        <v>15.858451197140084</v>
      </c>
    </row>
    <row r="47" spans="2:4" x14ac:dyDescent="0.3">
      <c r="B47" s="71">
        <v>7</v>
      </c>
      <c r="C47" s="71">
        <f>COUNTIF(helpdesk!$C$2:$C$181,B47)</f>
        <v>10</v>
      </c>
      <c r="D47" s="74">
        <f t="shared" si="0"/>
        <v>8.3823242042026127</v>
      </c>
    </row>
    <row r="48" spans="2:4" x14ac:dyDescent="0.3">
      <c r="B48" s="71">
        <v>8</v>
      </c>
      <c r="C48" s="71">
        <f>COUNTIF(helpdesk!$C$2:$C$181,B48)</f>
        <v>3</v>
      </c>
      <c r="D48" s="74">
        <f t="shared" si="0"/>
        <v>3.8768249444437148</v>
      </c>
    </row>
    <row r="49" spans="2:4" x14ac:dyDescent="0.3">
      <c r="B49" s="71">
        <v>9</v>
      </c>
      <c r="C49" s="71">
        <f>COUNTIF(helpdesk!$C$2:$C$181,B49)</f>
        <v>3</v>
      </c>
      <c r="D49" s="74">
        <f t="shared" si="0"/>
        <v>1.5938058104935238</v>
      </c>
    </row>
    <row r="50" spans="2:4" x14ac:dyDescent="0.3">
      <c r="B50" s="75" t="s">
        <v>962</v>
      </c>
      <c r="C50" s="75">
        <f>SUM(C40:C49)</f>
        <v>180</v>
      </c>
      <c r="D50" s="76">
        <f>SUM(D40:D49)</f>
        <v>179.12729926995223</v>
      </c>
    </row>
    <row r="52" spans="2:4" ht="14.4" customHeight="1" x14ac:dyDescent="0.3">
      <c r="B52" s="97" t="str">
        <f>"The model tracks the data well in the middle of the range (3–5 tickets) but drifts at the edges: "&amp;"observed has "&amp;TEXT(C40,"0")&amp;" zero-ticket days against "&amp;TEXT(D40,"0.0")&amp;" expected, and the model "&amp;"over-predicts around 3 tickets ("&amp;TEXT(D43,"0.0")&amp;" expected vs "&amp;TEXT(C43,"0")&amp;" observed) while "&amp;"slightly under-predicting 4 tickets. Given the "&amp;TEXT(C31,"0.0")&amp;"-day expected over-capacity estimate "&amp;"from F2, the recommendation is to roster enough staff for the typical 3–5-ticket day, with a plan "&amp;"(on-call or a shared second-line queue) for the roughly "&amp;TEXT(C31,"0")&amp;" days a term that exceed "&amp;"6 tickets — this assumes tickets keep behaving like a stable Poisson process with the same λ "&amp;"through the term, which a root-cause spike (see F1) could violate."</f>
        <v>The model tracks the data well in the middle of the range (3–5 tickets) but drifts at the edges: observed has 5 zero-ticket days against 4.5 expected, and the model over-predicts around 3 tickets (37.6 expected vs 24 observed) while slightly under-predicting 4 tickets. Given the 14.7-day expected over-capacity estimate from F2, the recommendation is to roster enough staff for the typical 3–5-ticket day, with a plan (on-call or a shared second-line queue) for the roughly 15 days a term that exceed 6 tickets — this assumes tickets keep behaving like a stable Poisson process with the same λ through the term, which a root-cause spike (see F1) could violate.</v>
      </c>
      <c r="C52" s="97"/>
      <c r="D52" s="97"/>
    </row>
    <row r="53" spans="2:4" ht="14.4" customHeight="1" x14ac:dyDescent="0.3">
      <c r="B53" s="97"/>
      <c r="C53" s="97"/>
      <c r="D53" s="97"/>
    </row>
    <row r="54" spans="2:4" ht="14.4" customHeight="1" x14ac:dyDescent="0.3">
      <c r="B54" s="97"/>
      <c r="C54" s="97"/>
      <c r="D54" s="97"/>
    </row>
    <row r="55" spans="2:4" ht="14.4" customHeight="1" x14ac:dyDescent="0.3">
      <c r="B55" s="97"/>
      <c r="C55" s="97"/>
      <c r="D55" s="97"/>
    </row>
    <row r="56" spans="2:4" x14ac:dyDescent="0.3">
      <c r="B56" s="97"/>
      <c r="C56" s="97"/>
      <c r="D56" s="97"/>
    </row>
    <row r="57" spans="2:4" x14ac:dyDescent="0.3">
      <c r="B57" s="97"/>
      <c r="C57" s="97"/>
      <c r="D57" s="97"/>
    </row>
  </sheetData>
  <mergeCells count="7">
    <mergeCell ref="B37:D37"/>
    <mergeCell ref="B52:D57"/>
    <mergeCell ref="B2:D2"/>
    <mergeCell ref="B10:D12"/>
    <mergeCell ref="B19:D21"/>
    <mergeCell ref="B23:D23"/>
    <mergeCell ref="B33:D35"/>
  </mergeCells>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9"/>
  <sheetViews>
    <sheetView zoomScaleNormal="100" workbookViewId="0">
      <pane ySplit="3" topLeftCell="A4" activePane="bottomLeft" state="frozen"/>
      <selection pane="bottomLeft" activeCell="D17" sqref="D17"/>
    </sheetView>
  </sheetViews>
  <sheetFormatPr defaultColWidth="8.6640625" defaultRowHeight="14.4" x14ac:dyDescent="0.3"/>
  <cols>
    <col min="1" max="1" width="16" style="15" customWidth="1"/>
    <col min="2" max="2" width="18" style="15" customWidth="1"/>
    <col min="3" max="3" width="62" style="15" customWidth="1"/>
    <col min="4" max="4" width="58" style="15" customWidth="1"/>
  </cols>
  <sheetData>
    <row r="1" spans="1:4" ht="18" customHeight="1" x14ac:dyDescent="0.3">
      <c r="A1" s="77" t="s">
        <v>963</v>
      </c>
      <c r="B1" s="44"/>
      <c r="C1" s="44"/>
      <c r="D1" s="44"/>
    </row>
    <row r="2" spans="1:4" ht="15" customHeight="1" x14ac:dyDescent="0.3">
      <c r="A2" s="44"/>
      <c r="B2" s="44"/>
      <c r="C2" s="44"/>
      <c r="D2" s="44"/>
    </row>
    <row r="3" spans="1:4" ht="15" customHeight="1" x14ac:dyDescent="0.3">
      <c r="A3" s="78" t="s">
        <v>964</v>
      </c>
      <c r="B3" s="78" t="s">
        <v>845</v>
      </c>
      <c r="C3" s="78" t="s">
        <v>965</v>
      </c>
      <c r="D3" s="78" t="s">
        <v>966</v>
      </c>
    </row>
    <row r="4" spans="1:4" ht="15" customHeight="1" x14ac:dyDescent="0.3">
      <c r="A4" s="79" t="s">
        <v>967</v>
      </c>
      <c r="B4" s="79" t="s">
        <v>968</v>
      </c>
      <c r="C4" s="80" t="str">
        <f>"A: Z = "&amp;TEXT(Part_B_Standardization!F6,"0.0000")&amp;"; B: Z = "&amp;TEXT(Part_B_Standardization!F7,"0.0000")&amp;"."</f>
        <v>A: Z = 1.6657; B: Z = 1.1217.</v>
      </c>
      <c r="D4" s="79" t="s">
        <v>969</v>
      </c>
    </row>
    <row r="5" spans="1:4" ht="23.25" customHeight="1" x14ac:dyDescent="0.3">
      <c r="A5" s="79" t="s">
        <v>967</v>
      </c>
      <c r="B5" s="79" t="s">
        <v>970</v>
      </c>
      <c r="C5" s="80" t="str">
        <f>IF(Part_B_Standardization!F6&gt;Part_B_Standardization!F7,"Candidate A is stronger relative to peers.","Candidate B is stronger relative to peers.")</f>
        <v>Candidate A is stronger relative to peers.</v>
      </c>
      <c r="D5" s="79" t="s">
        <v>971</v>
      </c>
    </row>
    <row r="6" spans="1:4" ht="23.25" customHeight="1" x14ac:dyDescent="0.3">
      <c r="A6" s="79" t="s">
        <v>967</v>
      </c>
      <c r="B6" s="79" t="s">
        <v>972</v>
      </c>
      <c r="C6" s="79" t="s">
        <v>973</v>
      </c>
      <c r="D6" s="79" t="s">
        <v>974</v>
      </c>
    </row>
    <row r="7" spans="1:4" ht="15" customHeight="1" x14ac:dyDescent="0.3">
      <c r="A7" s="79" t="s">
        <v>975</v>
      </c>
      <c r="B7" s="79" t="s">
        <v>976</v>
      </c>
      <c r="C7" s="80" t="str">
        <f>"Z = "&amp;TEXT(Part_B_Standardization!E13,"0.0000")&amp;"."</f>
        <v>Z = -1.1380.</v>
      </c>
      <c r="D7" s="79" t="s">
        <v>977</v>
      </c>
    </row>
    <row r="8" spans="1:4" ht="15" customHeight="1" x14ac:dyDescent="0.3">
      <c r="A8" s="79" t="s">
        <v>975</v>
      </c>
      <c r="B8" s="79" t="s">
        <v>978</v>
      </c>
      <c r="C8" s="79" t="s">
        <v>979</v>
      </c>
      <c r="D8" s="79" t="s">
        <v>980</v>
      </c>
    </row>
    <row r="9" spans="1:4" ht="15" customHeight="1" x14ac:dyDescent="0.3">
      <c r="A9" s="79" t="s">
        <v>975</v>
      </c>
      <c r="B9" s="79" t="s">
        <v>981</v>
      </c>
      <c r="C9" s="80" t="str">
        <f>"Mean Z = "&amp;TEXT(Part_B_Standardization!B18,"0.000000")&amp;"; sample SD = "&amp;TEXT(Part_B_Standardization!B19,"0.000000")&amp;"."</f>
        <v>Mean Z = 0.000000; sample SD = 0.994971.</v>
      </c>
      <c r="D9" s="79" t="s">
        <v>982</v>
      </c>
    </row>
    <row r="10" spans="1:4" ht="15" customHeight="1" x14ac:dyDescent="0.3">
      <c r="A10" s="79" t="s">
        <v>983</v>
      </c>
      <c r="B10" s="79" t="s">
        <v>984</v>
      </c>
      <c r="C10" s="80" t="str">
        <f>"Data Science assessment: skewness = "&amp;TEXT(Part_C_Analysis!F6,"0.0000")&amp;"."</f>
        <v>Data Science assessment: skewness = 0.0476.</v>
      </c>
      <c r="D10" s="79" t="s">
        <v>985</v>
      </c>
    </row>
    <row r="11" spans="1:4" ht="15" customHeight="1" x14ac:dyDescent="0.3">
      <c r="A11" s="79" t="s">
        <v>986</v>
      </c>
      <c r="B11" s="79" t="s">
        <v>987</v>
      </c>
      <c r="C11" s="80" t="str">
        <f>"Data Science: mean = "&amp;TEXT(Part_C_Analysis!C6,"0.0000")&amp;", median = "&amp;TEXT(Part_C_Analysis!D6,"0.0000")&amp;"."</f>
        <v>Data Science: mean = 77.6674, median = 77.4000.</v>
      </c>
      <c r="D11" s="79" t="s">
        <v>988</v>
      </c>
    </row>
    <row r="12" spans="1:4" ht="27.75" customHeight="1" x14ac:dyDescent="0.3">
      <c r="A12" s="79" t="s">
        <v>986</v>
      </c>
      <c r="B12" s="79" t="s">
        <v>840</v>
      </c>
      <c r="C12" s="80" t="str">
        <f>"Do not apply normal formulas to salary without qualification: skewness = "&amp;TEXT(Part_C_Analysis!F7,"0.0000")&amp;"."</f>
        <v>Do not apply normal formulas to salary without qualification: skewness = 0.0244.</v>
      </c>
      <c r="D12" s="79" t="s">
        <v>989</v>
      </c>
    </row>
    <row r="13" spans="1:4" ht="15" customHeight="1" x14ac:dyDescent="0.3">
      <c r="A13" s="79" t="s">
        <v>986</v>
      </c>
      <c r="B13" s="79" t="s">
        <v>842</v>
      </c>
      <c r="C13" s="80" t="str">
        <f>"68%: "&amp;TEXT(Part_C_Analysis!$C$6-Part_C_Analysis!$B$12,"0.0000")&amp;"–"&amp;TEXT(Part_C_Analysis!$C$6+Part_C_Analysis!$B$12,"0.0000")&amp;"; 95%: "&amp;TEXT(Part_C_Analysis!$C$6-2*Part_C_Analysis!$B$12,"0.0000")&amp;"–"&amp;TEXT(Part_C_Analysis!$C$6+2*Part_C_Analysis!$B$12,"0.0000")&amp;"."</f>
        <v>68%: 71.8515–83.4832; 95%: 66.0357–89.2991.</v>
      </c>
      <c r="D13" s="79" t="s">
        <v>990</v>
      </c>
    </row>
    <row r="14" spans="1:4" ht="15" customHeight="1" x14ac:dyDescent="0.3">
      <c r="A14" s="79" t="s">
        <v>991</v>
      </c>
      <c r="B14" s="79" t="s">
        <v>992</v>
      </c>
      <c r="C14" s="80" t="str">
        <f>"≈ "&amp;TEXT(2.5%,"0.0%")&amp;" above +2SD."</f>
        <v>≈ 2.5% above +2SD.</v>
      </c>
      <c r="D14" s="79" t="s">
        <v>993</v>
      </c>
    </row>
    <row r="15" spans="1:4" ht="23.25" customHeight="1" x14ac:dyDescent="0.3">
      <c r="A15" s="79" t="s">
        <v>991</v>
      </c>
      <c r="B15" s="79" t="s">
        <v>994</v>
      </c>
      <c r="C15" s="80" t="str">
        <f>TEXT(Part_C_Analysis!B17,"0")&amp;"/"&amp;TEXT(Part_C_Analysis!B6,"0")&amp;" = "&amp;TEXT(Part_C_Analysis!C17,"0.00%")&amp;" above +2SD."</f>
        <v>2/95 = 2.11% above +2SD.</v>
      </c>
      <c r="D15" s="79" t="s">
        <v>995</v>
      </c>
    </row>
    <row r="16" spans="1:4" ht="15" customHeight="1" x14ac:dyDescent="0.3">
      <c r="A16" s="79" t="s">
        <v>991</v>
      </c>
      <c r="B16" s="79" t="s">
        <v>996</v>
      </c>
      <c r="C16" s="79" t="s">
        <v>997</v>
      </c>
      <c r="D16" s="79" t="s">
        <v>998</v>
      </c>
    </row>
    <row r="17" spans="1:4" ht="23.25" customHeight="1" x14ac:dyDescent="0.3">
      <c r="A17" s="79" t="s">
        <v>991</v>
      </c>
      <c r="B17" s="79" t="s">
        <v>999</v>
      </c>
      <c r="C17" s="80" t="str">
        <f>"Overall salary Bowley skewness = "&amp;TEXT(((QUARTILE(graduates!$D$2:$D$301,3)-MEDIAN(graduates!$D$2:$D$301))-(MEDIAN(graduates!$D$2:$D$301)-QUARTILE(graduates!$D$2:$D$301,1)))/(QUARTILE(graduates!$D$2:$D$301,3)-QUARTILE(graduates!$D$2:$D$301,1)),"0.0000")&amp;"."</f>
        <v>Overall salary Bowley skewness = 0.0244.</v>
      </c>
      <c r="D17" s="79" t="s">
        <v>1000</v>
      </c>
    </row>
    <row r="18" spans="1:4" ht="15" customHeight="1" x14ac:dyDescent="0.3">
      <c r="A18" s="79" t="s">
        <v>1001</v>
      </c>
      <c r="B18" s="79" t="s">
        <v>1002</v>
      </c>
      <c r="C18" s="79" t="s">
        <v>1003</v>
      </c>
      <c r="D18" s="79" t="s">
        <v>1004</v>
      </c>
    </row>
    <row r="19" spans="1:4" ht="23.25" customHeight="1" x14ac:dyDescent="0.3">
      <c r="A19" s="79" t="s">
        <v>1001</v>
      </c>
      <c r="B19" s="79" t="s">
        <v>1005</v>
      </c>
      <c r="C19" s="79" t="s">
        <v>1006</v>
      </c>
      <c r="D19" s="79" t="s">
        <v>1007</v>
      </c>
    </row>
    <row r="20" spans="1:4" ht="23.25" customHeight="1" x14ac:dyDescent="0.3">
      <c r="A20" s="79" t="s">
        <v>1001</v>
      </c>
      <c r="B20" s="79" t="s">
        <v>1008</v>
      </c>
      <c r="C20" s="79" t="s">
        <v>1009</v>
      </c>
      <c r="D20" s="79" t="s">
        <v>1010</v>
      </c>
    </row>
    <row r="21" spans="1:4" ht="15" customHeight="1" x14ac:dyDescent="0.3">
      <c r="A21" s="21"/>
      <c r="B21" s="21"/>
      <c r="C21" s="21"/>
      <c r="D21" s="21"/>
    </row>
    <row r="22" spans="1:4" ht="15" customHeight="1" x14ac:dyDescent="0.3">
      <c r="A22" s="21"/>
      <c r="B22" s="21"/>
      <c r="C22" s="21"/>
      <c r="D22" s="21"/>
    </row>
    <row r="23" spans="1:4" ht="15" customHeight="1" x14ac:dyDescent="0.3">
      <c r="A23" s="21"/>
      <c r="B23" s="21"/>
      <c r="C23" s="21"/>
      <c r="D23" s="21"/>
    </row>
    <row r="24" spans="1:4" ht="15" customHeight="1" x14ac:dyDescent="0.3">
      <c r="A24" s="21"/>
      <c r="B24" s="21"/>
      <c r="C24" s="21"/>
      <c r="D24" s="21"/>
    </row>
    <row r="25" spans="1:4" ht="15" customHeight="1" x14ac:dyDescent="0.3">
      <c r="A25" s="21"/>
      <c r="B25" s="21"/>
      <c r="C25" s="21"/>
      <c r="D25" s="21"/>
    </row>
    <row r="26" spans="1:4" ht="15" customHeight="1" x14ac:dyDescent="0.3">
      <c r="A26" s="21"/>
      <c r="B26" s="21"/>
      <c r="C26" s="21"/>
      <c r="D26" s="21"/>
    </row>
    <row r="27" spans="1:4" ht="15" customHeight="1" x14ac:dyDescent="0.3">
      <c r="A27" s="21"/>
      <c r="B27" s="21"/>
      <c r="C27" s="21"/>
      <c r="D27" s="21"/>
    </row>
    <row r="28" spans="1:4" ht="15" customHeight="1" x14ac:dyDescent="0.3">
      <c r="A28" s="21"/>
      <c r="B28" s="21"/>
      <c r="C28" s="21"/>
      <c r="D28" s="21"/>
    </row>
    <row r="29" spans="1:4" ht="15" customHeight="1" x14ac:dyDescent="0.3">
      <c r="A29" s="21"/>
      <c r="B29" s="21"/>
      <c r="C29" s="21"/>
      <c r="D29" s="21"/>
    </row>
    <row r="30" spans="1:4" ht="15" customHeight="1" x14ac:dyDescent="0.3">
      <c r="A30" s="21"/>
      <c r="B30" s="21"/>
      <c r="C30" s="21"/>
      <c r="D30" s="21"/>
    </row>
    <row r="31" spans="1:4" ht="15" customHeight="1" x14ac:dyDescent="0.3">
      <c r="A31" s="21"/>
      <c r="B31" s="21"/>
      <c r="C31" s="21"/>
      <c r="D31" s="21"/>
    </row>
    <row r="32" spans="1:4" ht="15" customHeight="1" x14ac:dyDescent="0.3">
      <c r="A32" s="21"/>
      <c r="B32" s="21"/>
      <c r="C32" s="21"/>
      <c r="D32" s="21"/>
    </row>
    <row r="33" spans="1:4" ht="15" customHeight="1" x14ac:dyDescent="0.3">
      <c r="A33" s="21"/>
      <c r="B33" s="21"/>
      <c r="C33" s="21"/>
      <c r="D33" s="21"/>
    </row>
    <row r="34" spans="1:4" ht="15" customHeight="1" x14ac:dyDescent="0.3">
      <c r="A34" s="21"/>
      <c r="B34" s="21"/>
      <c r="C34" s="21"/>
      <c r="D34" s="21"/>
    </row>
    <row r="35" spans="1:4" ht="15" customHeight="1" x14ac:dyDescent="0.3">
      <c r="A35" s="21"/>
      <c r="B35" s="21"/>
      <c r="C35" s="21"/>
      <c r="D35" s="21"/>
    </row>
    <row r="36" spans="1:4" ht="15" customHeight="1" x14ac:dyDescent="0.3">
      <c r="A36" s="21"/>
      <c r="B36" s="21"/>
      <c r="C36" s="21"/>
      <c r="D36" s="21"/>
    </row>
    <row r="37" spans="1:4" ht="15" customHeight="1" x14ac:dyDescent="0.3">
      <c r="A37" s="21"/>
      <c r="B37" s="21"/>
      <c r="C37" s="21"/>
      <c r="D37" s="21"/>
    </row>
    <row r="38" spans="1:4" ht="15" customHeight="1" x14ac:dyDescent="0.3">
      <c r="A38" s="21"/>
      <c r="B38" s="21"/>
      <c r="C38" s="21"/>
      <c r="D38" s="21"/>
    </row>
    <row r="39" spans="1:4" ht="15" customHeight="1" x14ac:dyDescent="0.3">
      <c r="A39" s="21"/>
      <c r="B39" s="21"/>
      <c r="C39" s="21"/>
      <c r="D39" s="21"/>
    </row>
  </sheetData>
  <autoFilter ref="A3:D20"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58"/>
  <sheetViews>
    <sheetView showGridLines="0" zoomScaleNormal="100" workbookViewId="0"/>
  </sheetViews>
  <sheetFormatPr defaultColWidth="8.6640625" defaultRowHeight="14.4" x14ac:dyDescent="0.3"/>
  <cols>
    <col min="1" max="1" width="22" style="15" customWidth="1"/>
    <col min="2" max="8" width="18" style="15" customWidth="1"/>
  </cols>
  <sheetData>
    <row r="1" spans="1:8" ht="15" customHeight="1" x14ac:dyDescent="0.3">
      <c r="A1" s="95" t="s">
        <v>1011</v>
      </c>
      <c r="B1" s="95"/>
      <c r="C1" s="95"/>
      <c r="D1" s="95"/>
      <c r="E1" s="95"/>
      <c r="F1" s="95"/>
      <c r="G1" s="95"/>
      <c r="H1" s="95"/>
    </row>
    <row r="2" spans="1:8" ht="15" customHeight="1" x14ac:dyDescent="0.3">
      <c r="A2" s="95"/>
      <c r="B2" s="95"/>
      <c r="C2" s="95"/>
      <c r="D2" s="95"/>
      <c r="E2" s="95"/>
      <c r="F2" s="95"/>
      <c r="G2" s="95"/>
      <c r="H2" s="95"/>
    </row>
    <row r="3" spans="1:8" ht="15" customHeight="1" x14ac:dyDescent="0.3">
      <c r="A3" s="96" t="s">
        <v>1012</v>
      </c>
      <c r="B3" s="96"/>
      <c r="C3" s="96"/>
      <c r="D3" s="96"/>
      <c r="E3" s="96"/>
      <c r="F3" s="96"/>
      <c r="G3" s="96"/>
      <c r="H3" s="96"/>
    </row>
    <row r="4" spans="1:8" ht="81.75" customHeight="1" x14ac:dyDescent="0.3">
      <c r="A4" s="81" t="s">
        <v>1013</v>
      </c>
    </row>
    <row r="5" spans="1:8" ht="14.25" customHeight="1" x14ac:dyDescent="0.3"/>
    <row r="6" spans="1:8" ht="14.25" customHeight="1" x14ac:dyDescent="0.3"/>
    <row r="7" spans="1:8" ht="14.25" customHeight="1" x14ac:dyDescent="0.3"/>
    <row r="8" spans="1:8" ht="14.25" customHeight="1" x14ac:dyDescent="0.3"/>
    <row r="9" spans="1:8" ht="14.25" customHeight="1" x14ac:dyDescent="0.3"/>
    <row r="10" spans="1:8" ht="14.25" customHeight="1" x14ac:dyDescent="0.3"/>
    <row r="11" spans="1:8" ht="14.25" customHeight="1" x14ac:dyDescent="0.3"/>
    <row r="12" spans="1:8" ht="14.25" customHeight="1" x14ac:dyDescent="0.3"/>
    <row r="13" spans="1:8" ht="14.25" customHeight="1" x14ac:dyDescent="0.3"/>
    <row r="14" spans="1:8" ht="14.25" customHeight="1" x14ac:dyDescent="0.3"/>
    <row r="15" spans="1:8" ht="14.25" customHeight="1" x14ac:dyDescent="0.3"/>
    <row r="16" spans="1:8" ht="14.25" customHeight="1" x14ac:dyDescent="0.3"/>
    <row r="17" spans="1:1" ht="14.25" customHeight="1" x14ac:dyDescent="0.3"/>
    <row r="18" spans="1:1" ht="14.25" customHeight="1" x14ac:dyDescent="0.3"/>
    <row r="19" spans="1:1" ht="14.25" customHeight="1" x14ac:dyDescent="0.3"/>
    <row r="20" spans="1:1" ht="14.25" customHeight="1" x14ac:dyDescent="0.3"/>
    <row r="21" spans="1:1" ht="14.25" customHeight="1" x14ac:dyDescent="0.3"/>
    <row r="22" spans="1:1" ht="68.25" customHeight="1" x14ac:dyDescent="0.3">
      <c r="A22" s="81" t="s">
        <v>1014</v>
      </c>
    </row>
    <row r="23" spans="1:1" ht="14.25" customHeight="1" x14ac:dyDescent="0.3"/>
    <row r="24" spans="1:1" ht="14.25" customHeight="1" x14ac:dyDescent="0.3"/>
    <row r="25" spans="1:1" ht="14.25" customHeight="1" x14ac:dyDescent="0.3"/>
    <row r="26" spans="1:1" ht="14.25" customHeight="1" x14ac:dyDescent="0.3"/>
    <row r="27" spans="1:1" ht="14.25" customHeight="1" x14ac:dyDescent="0.3"/>
    <row r="28" spans="1:1" ht="14.25" customHeight="1" x14ac:dyDescent="0.3"/>
    <row r="29" spans="1:1" ht="14.25" customHeight="1" x14ac:dyDescent="0.3"/>
    <row r="30" spans="1:1" ht="14.25" customHeight="1" x14ac:dyDescent="0.3"/>
    <row r="31" spans="1:1" ht="14.25" customHeight="1" x14ac:dyDescent="0.3"/>
    <row r="32" spans="1:1" ht="14.25" customHeight="1" x14ac:dyDescent="0.3"/>
    <row r="33" spans="1:1" ht="14.25" customHeight="1" x14ac:dyDescent="0.3"/>
    <row r="34" spans="1:1" ht="14.25" customHeight="1" x14ac:dyDescent="0.3"/>
    <row r="35" spans="1:1" ht="14.25" customHeight="1" x14ac:dyDescent="0.3"/>
    <row r="36" spans="1:1" ht="14.25" customHeight="1" x14ac:dyDescent="0.3"/>
    <row r="37" spans="1:1" ht="14.25" customHeight="1" x14ac:dyDescent="0.3"/>
    <row r="38" spans="1:1" ht="14.25" customHeight="1" x14ac:dyDescent="0.3"/>
    <row r="39" spans="1:1" ht="14.25" customHeight="1" x14ac:dyDescent="0.3"/>
    <row r="40" spans="1:1" ht="95.25" customHeight="1" x14ac:dyDescent="0.3">
      <c r="A40" s="81" t="s">
        <v>1015</v>
      </c>
    </row>
    <row r="41" spans="1:1" ht="14.25" customHeight="1" x14ac:dyDescent="0.3"/>
    <row r="42" spans="1:1" ht="14.25" customHeight="1" x14ac:dyDescent="0.3"/>
    <row r="43" spans="1:1" ht="14.25" customHeight="1" x14ac:dyDescent="0.3"/>
    <row r="44" spans="1:1" ht="14.25" customHeight="1" x14ac:dyDescent="0.3"/>
    <row r="45" spans="1:1" ht="14.25" customHeight="1" x14ac:dyDescent="0.3"/>
    <row r="46" spans="1:1" ht="14.25" customHeight="1" x14ac:dyDescent="0.3"/>
    <row r="47" spans="1:1" ht="14.25" customHeight="1" x14ac:dyDescent="0.3"/>
    <row r="48" spans="1:1" ht="14.25" customHeight="1" x14ac:dyDescent="0.3"/>
    <row r="49" spans="1:1" ht="14.25" customHeight="1" x14ac:dyDescent="0.3"/>
    <row r="50" spans="1:1" ht="14.25" customHeight="1" x14ac:dyDescent="0.3"/>
    <row r="51" spans="1:1" ht="14.25" customHeight="1" x14ac:dyDescent="0.3"/>
    <row r="52" spans="1:1" ht="14.25" customHeight="1" x14ac:dyDescent="0.3"/>
    <row r="53" spans="1:1" ht="14.25" customHeight="1" x14ac:dyDescent="0.3"/>
    <row r="54" spans="1:1" ht="14.25" customHeight="1" x14ac:dyDescent="0.3"/>
    <row r="55" spans="1:1" ht="14.25" customHeight="1" x14ac:dyDescent="0.3"/>
    <row r="56" spans="1:1" ht="14.25" customHeight="1" x14ac:dyDescent="0.3"/>
    <row r="57" spans="1:1" ht="14.25" customHeight="1" x14ac:dyDescent="0.3"/>
    <row r="58" spans="1:1" ht="81.75" customHeight="1" x14ac:dyDescent="0.3">
      <c r="A58" s="81" t="s">
        <v>1016</v>
      </c>
    </row>
  </sheetData>
  <mergeCells count="2">
    <mergeCell ref="A1:H2"/>
    <mergeCell ref="A3:H3"/>
  </mergeCells>
  <pageMargins left="0.75" right="0.75" top="1" bottom="1"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5</vt:i4>
      </vt:variant>
    </vt:vector>
  </HeadingPairs>
  <TitlesOfParts>
    <vt:vector size="21" baseType="lpstr">
      <vt:lpstr>README</vt:lpstr>
      <vt:lpstr>graduates</vt:lpstr>
      <vt:lpstr>helpdesk</vt:lpstr>
      <vt:lpstr>lab_task</vt:lpstr>
      <vt:lpstr>data_dictionary</vt:lpstr>
      <vt:lpstr>Part_A_Dispersion</vt:lpstr>
      <vt:lpstr>Part_B_Standardization</vt:lpstr>
      <vt:lpstr>Part_C_Analysis</vt:lpstr>
      <vt:lpstr>Part_D_BoxPlots</vt:lpstr>
      <vt:lpstr>B_C_Completed</vt:lpstr>
      <vt:lpstr>Z_Scores</vt:lpstr>
      <vt:lpstr>C_Distributions</vt:lpstr>
      <vt:lpstr>Part E</vt:lpstr>
      <vt:lpstr>Part F</vt:lpstr>
      <vt:lpstr>your_answers</vt:lpstr>
      <vt:lpstr>Charts_Gallery</vt:lpstr>
      <vt:lpstr>P_hat</vt:lpstr>
      <vt:lpstr>Part_B_Standardization!Print_Area</vt:lpstr>
      <vt:lpstr>Part_C_Analysis!Print_Area</vt:lpstr>
      <vt:lpstr>Part_B_Standardization!Print_Titles</vt:lpstr>
      <vt:lpstr>Part_C_Analysis!Print_Titles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Ahmed Hazem</cp:lastModifiedBy>
  <cp:revision>1</cp:revision>
  <dcterms:created xsi:type="dcterms:W3CDTF">2026-08-21T05:38:08Z</dcterms:created>
  <dcterms:modified xsi:type="dcterms:W3CDTF">2026-08-23T23:57:46Z</dcterms:modified>
  <dc:language>en-US</dc:language>
</cp:coreProperties>
</file>